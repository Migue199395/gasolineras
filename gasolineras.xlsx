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STACIONES SHELL" sheetId="1" state="visible" r:id="rId1"/>
    <sheet xmlns:r="http://schemas.openxmlformats.org/officeDocument/2006/relationships" name="ESTACIONES UNO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0" hidden="1">'ESTACIONES SHELL'!$A$12:$F$171</definedName>
    <definedName name="_xlnm._FilterDatabase" localSheetId="1" hidden="1">'ESTACIONES UNO'!$A$6:$I$101</definedName>
    <definedName name="_xlnm.Print_Area" localSheetId="1">'ESTACIONES UNO'!$C$1:$G$72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sz val="10"/>
    </font>
    <font>
      <name val="Segoe UI"/>
      <family val="2"/>
      <sz val="11"/>
    </font>
    <font>
      <name val="Calibri"/>
      <family val="2"/>
      <color theme="1"/>
      <sz val="8"/>
      <scheme val="minor"/>
    </font>
    <font>
      <name val="Segoe UI"/>
      <family val="2"/>
      <b val="1"/>
      <sz val="11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1" pivotButton="0" quotePrefix="0" xfId="0"/>
    <xf numFmtId="0" fontId="1" fillId="0" borderId="1" pivotButton="0" quotePrefix="0" xfId="0"/>
    <xf numFmtId="0" fontId="3" fillId="2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pivotButton="0" quotePrefix="0" xfId="0"/>
    <xf numFmtId="0" fontId="0" fillId="2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257258</colOff>
      <row>0</row>
      <rowOff>1</rowOff>
    </from>
    <to>
      <col>2</col>
      <colOff>1949032</colOff>
      <row>10</row>
      <rowOff>88688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751089" y="160813"/>
          <a:ext cx="1691774" cy="16968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absolute">
    <from>
      <col>0</col>
      <colOff>76200</colOff>
      <row>0</row>
      <rowOff>114299</rowOff>
    </from>
    <to>
      <col>2</col>
      <colOff>1051833</colOff>
      <row>4</row>
      <rowOff>85724</rowOff>
    </to>
    <pic>
      <nvPicPr>
        <cNvPr id="2" name="Content Placeholder 3"/>
        <cNvPicPr>
          <a:picLocks xmlns:a="http://schemas.openxmlformats.org/drawingml/2006/main" noGrp="1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26207" b="2896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114299"/>
          <a:ext cx="2175783" cy="619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eegsagt-my.sharepoint.com/Users/ruth.velasquez/Downloads/base%20de%20sitios%202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Description</v>
          </cell>
          <cell r="B1" t="str">
            <v>BU</v>
          </cell>
          <cell r="C1" t="str">
            <v>Addre Number</v>
          </cell>
          <cell r="D1" t="str">
            <v>Description</v>
          </cell>
        </row>
        <row r="2">
          <cell r="A2" t="str">
            <v>VISTA HERMOSA</v>
          </cell>
          <cell r="B2">
            <v>700544</v>
          </cell>
          <cell r="C2">
            <v>702337</v>
          </cell>
          <cell r="D2" t="str">
            <v>VISTA HERMOSA</v>
          </cell>
        </row>
        <row r="3">
          <cell r="A3" t="str">
            <v>TREBOL</v>
          </cell>
          <cell r="B3">
            <v>108016</v>
          </cell>
          <cell r="C3">
            <v>105221</v>
          </cell>
          <cell r="D3" t="str">
            <v>TREBOL</v>
          </cell>
        </row>
        <row r="4">
          <cell r="A4" t="str">
            <v>TERMINAL GUATE</v>
          </cell>
          <cell r="B4">
            <v>108017</v>
          </cell>
          <cell r="C4">
            <v>105222</v>
          </cell>
          <cell r="D4" t="str">
            <v>TERMINAL GUATE</v>
          </cell>
        </row>
        <row r="5">
          <cell r="A5" t="str">
            <v>SAN CRISTOBAL III</v>
          </cell>
          <cell r="B5">
            <v>108012</v>
          </cell>
          <cell r="C5">
            <v>105217</v>
          </cell>
          <cell r="D5" t="str">
            <v>SAN CRISTOBAL III</v>
          </cell>
        </row>
        <row r="6">
          <cell r="A6" t="str">
            <v>SAN CRISTOBAL 2</v>
          </cell>
          <cell r="B6">
            <v>108013</v>
          </cell>
          <cell r="C6">
            <v>105218</v>
          </cell>
          <cell r="D6" t="str">
            <v>SAN CRISTOBAL 2</v>
          </cell>
        </row>
        <row r="7">
          <cell r="A7" t="str">
            <v>ROOSELVELT COTIO</v>
          </cell>
          <cell r="B7">
            <v>108014</v>
          </cell>
          <cell r="C7">
            <v>105219</v>
          </cell>
          <cell r="D7" t="str">
            <v>ROOSEVELT COTIO</v>
          </cell>
        </row>
        <row r="8">
          <cell r="A8" t="str">
            <v>PROCERES OBELISCO</v>
          </cell>
          <cell r="B8">
            <v>108018</v>
          </cell>
          <cell r="C8">
            <v>105223</v>
          </cell>
          <cell r="D8" t="str">
            <v>PROCERES OBELISCO</v>
          </cell>
        </row>
        <row r="9">
          <cell r="A9" t="str">
            <v>PINOS II</v>
          </cell>
          <cell r="B9">
            <v>108022</v>
          </cell>
          <cell r="C9">
            <v>105227</v>
          </cell>
          <cell r="D9" t="str">
            <v>PINOS II</v>
          </cell>
        </row>
        <row r="10">
          <cell r="A10" t="str">
            <v>PASEO CAYALA</v>
          </cell>
          <cell r="B10">
            <v>108024</v>
          </cell>
          <cell r="C10">
            <v>105229</v>
          </cell>
          <cell r="D10" t="str">
            <v>PASEO CAYALA</v>
          </cell>
        </row>
        <row r="11">
          <cell r="A11" t="str">
            <v>MUXBAL</v>
          </cell>
          <cell r="B11">
            <v>108025</v>
          </cell>
          <cell r="C11">
            <v>105230</v>
          </cell>
          <cell r="D11" t="str">
            <v>MUXBAL</v>
          </cell>
        </row>
        <row r="12">
          <cell r="A12" t="str">
            <v>PROVIDENCIA</v>
          </cell>
          <cell r="B12">
            <v>108023</v>
          </cell>
          <cell r="C12">
            <v>105228</v>
          </cell>
          <cell r="D12" t="str">
            <v>LA PROVIDENCIA ZONA 18</v>
          </cell>
        </row>
        <row r="13">
          <cell r="A13" t="str">
            <v>FLORIDA</v>
          </cell>
          <cell r="B13">
            <v>108029</v>
          </cell>
          <cell r="C13">
            <v>105234</v>
          </cell>
          <cell r="D13" t="str">
            <v>FLORIDA</v>
          </cell>
        </row>
        <row r="14">
          <cell r="A14" t="str">
            <v>DIAGONAL SEIS</v>
          </cell>
          <cell r="B14">
            <v>108078</v>
          </cell>
          <cell r="C14">
            <v>105962</v>
          </cell>
          <cell r="D14" t="str">
            <v>DIAGONAL SEIS</v>
          </cell>
        </row>
        <row r="15">
          <cell r="A15" t="str">
            <v>CRUZ DEL SUR</v>
          </cell>
          <cell r="B15">
            <v>108005</v>
          </cell>
          <cell r="C15">
            <v>105210</v>
          </cell>
          <cell r="D15" t="str">
            <v>CRUZ DEL SUR</v>
          </cell>
        </row>
        <row r="16">
          <cell r="A16" t="str">
            <v>BOCA DEL MONTE II</v>
          </cell>
          <cell r="B16">
            <v>108019</v>
          </cell>
          <cell r="C16">
            <v>105224</v>
          </cell>
          <cell r="D16" t="str">
            <v>BOCA DEL MONTE II</v>
          </cell>
        </row>
        <row r="17">
          <cell r="A17" t="str">
            <v>ATANASIO</v>
          </cell>
          <cell r="B17">
            <v>108031</v>
          </cell>
          <cell r="C17">
            <v>105236</v>
          </cell>
          <cell r="D17" t="str">
            <v>ATANASIO</v>
          </cell>
        </row>
        <row r="18">
          <cell r="A18" t="str">
            <v>TIKAL FUTURA ROOSEVELT</v>
          </cell>
          <cell r="B18">
            <v>700711</v>
          </cell>
          <cell r="C18">
            <v>702247</v>
          </cell>
          <cell r="D18" t="str">
            <v xml:space="preserve"> TIKAL FUTURA ROOSEVELT</v>
          </cell>
        </row>
        <row r="19">
          <cell r="A19" t="str">
            <v>TIKAL FUTURA PERIFERICO</v>
          </cell>
          <cell r="B19">
            <v>700710</v>
          </cell>
          <cell r="C19">
            <v>702246</v>
          </cell>
          <cell r="D19" t="str">
            <v xml:space="preserve"> TIKAL FUTURA PERIFERICO</v>
          </cell>
        </row>
        <row r="20">
          <cell r="A20" t="str">
            <v>SANTA ELISA</v>
          </cell>
          <cell r="B20">
            <v>700509</v>
          </cell>
          <cell r="C20">
            <v>702334</v>
          </cell>
          <cell r="D20" t="str">
            <v xml:space="preserve"> SANTA ELISA/CONSIGNACIÓ</v>
          </cell>
        </row>
        <row r="21">
          <cell r="A21" t="str">
            <v>SAN PEDRITO</v>
          </cell>
          <cell r="B21">
            <v>700446</v>
          </cell>
          <cell r="C21">
            <v>702313</v>
          </cell>
          <cell r="D21" t="str">
            <v xml:space="preserve"> SAN PEDRITO CONSIGNACIÓ</v>
          </cell>
        </row>
        <row r="22">
          <cell r="A22" t="str">
            <v>MONTECALVO</v>
          </cell>
          <cell r="B22">
            <v>700449</v>
          </cell>
          <cell r="C22">
            <v>702322</v>
          </cell>
          <cell r="D22" t="str">
            <v xml:space="preserve"> MONTECALVO CONSIGNACIÓN</v>
          </cell>
        </row>
        <row r="23">
          <cell r="A23" t="str">
            <v>NUEVA MARISCAL</v>
          </cell>
          <cell r="B23">
            <v>700440</v>
          </cell>
          <cell r="C23">
            <v>702305</v>
          </cell>
          <cell r="D23" t="str">
            <v xml:space="preserve"> MARISCAL-CONSIGNACIÓN</v>
          </cell>
        </row>
        <row r="24">
          <cell r="A24" t="str">
            <v>LA VILLA</v>
          </cell>
          <cell r="B24">
            <v>700584</v>
          </cell>
          <cell r="C24">
            <v>702320</v>
          </cell>
          <cell r="D24" t="str">
            <v xml:space="preserve"> LA VILLA-CONSIGNACION P</v>
          </cell>
        </row>
        <row r="25">
          <cell r="A25" t="str">
            <v>BELLA AURORA</v>
          </cell>
          <cell r="B25">
            <v>700315</v>
          </cell>
          <cell r="C25">
            <v>702345</v>
          </cell>
          <cell r="D25" t="str">
            <v xml:space="preserve"> Bella Aurora II</v>
          </cell>
        </row>
        <row r="26">
          <cell r="A26" t="str">
            <v>ATANASIO TZUL</v>
          </cell>
          <cell r="B26">
            <v>700592</v>
          </cell>
          <cell r="C26">
            <v>702336</v>
          </cell>
          <cell r="D26" t="str">
            <v xml:space="preserve"> ATANASIO TZUL CONSIGNAC</v>
          </cell>
        </row>
        <row r="27">
          <cell r="A27" t="str">
            <v>AGUILAR BATRES</v>
          </cell>
          <cell r="B27">
            <v>700953</v>
          </cell>
          <cell r="C27">
            <v>702363</v>
          </cell>
          <cell r="D27" t="str">
            <v xml:space="preserve"> AGUILAR BATRES</v>
          </cell>
        </row>
        <row r="28">
          <cell r="A28" t="str">
            <v>Las Conchas</v>
          </cell>
          <cell r="B28">
            <v>700952</v>
          </cell>
          <cell r="C28">
            <v>702869</v>
          </cell>
          <cell r="D28" t="str">
            <v>Las Conchas</v>
          </cell>
        </row>
        <row r="29">
          <cell r="A29" t="str">
            <v>JOSE MILLA</v>
          </cell>
          <cell r="B29">
            <v>108105</v>
          </cell>
          <cell r="C29">
            <v>105973</v>
          </cell>
          <cell r="D29" t="str">
            <v>JOSE MILLA</v>
          </cell>
        </row>
        <row r="30">
          <cell r="A30" t="str">
            <v>ACATAN</v>
          </cell>
          <cell r="B30">
            <v>108933</v>
          </cell>
          <cell r="C30">
            <v>105005</v>
          </cell>
          <cell r="D30" t="str">
            <v>ACATAN</v>
          </cell>
        </row>
        <row r="31">
          <cell r="A31" t="str">
            <v>CURSA</v>
          </cell>
          <cell r="B31">
            <v>700570</v>
          </cell>
          <cell r="C31">
            <v>702867</v>
          </cell>
          <cell r="D31" t="str">
            <v xml:space="preserve"> CURSA II</v>
          </cell>
        </row>
        <row r="32">
          <cell r="A32" t="str">
            <v>TULAM ZU</v>
          </cell>
          <cell r="B32">
            <v>700712</v>
          </cell>
          <cell r="C32">
            <v>702220</v>
          </cell>
          <cell r="D32" t="str">
            <v>TULAM ZU</v>
          </cell>
        </row>
        <row r="33">
          <cell r="A33" t="str">
            <v>EL NARANJO</v>
          </cell>
          <cell r="B33">
            <v>700580</v>
          </cell>
          <cell r="C33">
            <v>702906</v>
          </cell>
          <cell r="D33" t="str">
            <v>EL NARANJO</v>
          </cell>
        </row>
        <row r="34">
          <cell r="A34" t="str">
            <v>LAS PALMAS AMATITLAN</v>
          </cell>
          <cell r="B34">
            <v>108008</v>
          </cell>
          <cell r="C34">
            <v>105213</v>
          </cell>
          <cell r="D34" t="str">
            <v>LAS PALMAS AMATITLAN</v>
          </cell>
        </row>
        <row r="35">
          <cell r="A35" t="str">
            <v>FLORES DEL LAGO</v>
          </cell>
          <cell r="B35">
            <v>108001</v>
          </cell>
          <cell r="C35">
            <v>105206</v>
          </cell>
          <cell r="D35" t="str">
            <v>FLORES DEL LAGO</v>
          </cell>
        </row>
        <row r="36">
          <cell r="A36" t="str">
            <v>ASIOLE</v>
          </cell>
          <cell r="B36">
            <v>700306</v>
          </cell>
          <cell r="C36">
            <v>702139</v>
          </cell>
          <cell r="D36" t="str">
            <v>ASIOLE</v>
          </cell>
        </row>
        <row r="37">
          <cell r="A37" t="str">
            <v>CASAL</v>
          </cell>
          <cell r="B37">
            <v>108039</v>
          </cell>
          <cell r="C37">
            <v>105244</v>
          </cell>
          <cell r="D37" t="str">
            <v>CASAL</v>
          </cell>
        </row>
        <row r="38">
          <cell r="A38" t="str">
            <v>ANDALUCIA</v>
          </cell>
          <cell r="B38">
            <v>108044</v>
          </cell>
          <cell r="C38">
            <v>105961</v>
          </cell>
          <cell r="D38" t="str">
            <v>ANDALUCIA</v>
          </cell>
        </row>
        <row r="39">
          <cell r="A39" t="str">
            <v>EL FARO</v>
          </cell>
          <cell r="B39">
            <v>108006</v>
          </cell>
          <cell r="C39">
            <v>105211</v>
          </cell>
          <cell r="D39" t="str">
            <v>EL FARO</v>
          </cell>
        </row>
        <row r="40">
          <cell r="A40" t="str">
            <v>SAN JUAN SACATEPEQUEZ</v>
          </cell>
          <cell r="B40">
            <v>108007</v>
          </cell>
          <cell r="C40">
            <v>105212</v>
          </cell>
          <cell r="D40" t="str">
            <v>SAN JUAN Sacatepéquez</v>
          </cell>
        </row>
        <row r="41">
          <cell r="A41" t="str">
            <v>SAN MIGUEL PETAPA</v>
          </cell>
          <cell r="B41">
            <v>108020</v>
          </cell>
          <cell r="C41">
            <v>105225</v>
          </cell>
          <cell r="D41" t="str">
            <v>SAN MIGUEL PETAPA</v>
          </cell>
        </row>
        <row r="42">
          <cell r="A42" t="str">
            <v>VILLA NUEVA</v>
          </cell>
          <cell r="B42">
            <v>700522</v>
          </cell>
          <cell r="C42">
            <v>702408</v>
          </cell>
          <cell r="D42" t="str">
            <v>VILLANUEVA</v>
          </cell>
        </row>
        <row r="43">
          <cell r="A43" t="str">
            <v>MONTE MARIA</v>
          </cell>
          <cell r="B43">
            <v>108021</v>
          </cell>
          <cell r="C43">
            <v>105226</v>
          </cell>
          <cell r="D43" t="str">
            <v>MONTE MARÍA</v>
          </cell>
        </row>
        <row r="44">
          <cell r="A44" t="str">
            <v>DELTA BARCENAS</v>
          </cell>
          <cell r="B44">
            <v>108032</v>
          </cell>
          <cell r="C44">
            <v>105237</v>
          </cell>
          <cell r="D44" t="str">
            <v>DELTA BARCENAS</v>
          </cell>
        </row>
        <row r="45">
          <cell r="A45" t="str">
            <v>EL FRUTAL I</v>
          </cell>
          <cell r="B45">
            <v>700938</v>
          </cell>
          <cell r="C45">
            <v>702348</v>
          </cell>
          <cell r="D45" t="str">
            <v xml:space="preserve"> EL FRUTAL    CONSIGN/PE</v>
          </cell>
        </row>
        <row r="46">
          <cell r="A46" t="str">
            <v>LINDA VISTA</v>
          </cell>
          <cell r="B46">
            <v>700630</v>
          </cell>
          <cell r="C46">
            <v>702350</v>
          </cell>
          <cell r="D46" t="str">
            <v xml:space="preserve"> LINDA VISTA - NRA</v>
          </cell>
        </row>
        <row r="47">
          <cell r="A47" t="str">
            <v>SAN LUCAS</v>
          </cell>
          <cell r="B47">
            <v>700668</v>
          </cell>
          <cell r="C47">
            <v>702304</v>
          </cell>
          <cell r="D47" t="str">
            <v xml:space="preserve"> SAN LUCAS - CONSIGNACIÓ</v>
          </cell>
        </row>
        <row r="48">
          <cell r="A48" t="str">
            <v>ZARAGOZA</v>
          </cell>
          <cell r="B48">
            <v>108937</v>
          </cell>
          <cell r="C48">
            <v>105977</v>
          </cell>
          <cell r="D48" t="str">
            <v>ZARAGOZA</v>
          </cell>
        </row>
        <row r="49">
          <cell r="A49" t="str">
            <v>EL TEJAR</v>
          </cell>
          <cell r="B49">
            <v>108082</v>
          </cell>
          <cell r="C49">
            <v>105247</v>
          </cell>
          <cell r="D49" t="str">
            <v>EL TEJAR</v>
          </cell>
        </row>
        <row r="50">
          <cell r="A50" t="str">
            <v>CHIMALTENANGO</v>
          </cell>
          <cell r="B50">
            <v>108011</v>
          </cell>
          <cell r="C50">
            <v>105216</v>
          </cell>
          <cell r="D50" t="str">
            <v>CHIMALTENANGO</v>
          </cell>
        </row>
        <row r="51">
          <cell r="A51" t="str">
            <v>PRADERA CHIMALTENANGO</v>
          </cell>
          <cell r="B51">
            <v>700624</v>
          </cell>
          <cell r="C51">
            <v>702405</v>
          </cell>
          <cell r="D51" t="str">
            <v xml:space="preserve"> PRADERA CHIMALTENANGO</v>
          </cell>
        </row>
        <row r="52">
          <cell r="A52" t="str">
            <v>PEGASO</v>
          </cell>
          <cell r="B52">
            <v>700645</v>
          </cell>
          <cell r="C52">
            <v>717948</v>
          </cell>
          <cell r="D52" t="str">
            <v xml:space="preserve"> PEGASO</v>
          </cell>
        </row>
        <row r="53">
          <cell r="A53" t="str">
            <v>PATZICIA</v>
          </cell>
          <cell r="B53">
            <v>700075</v>
          </cell>
          <cell r="C53">
            <v>702255</v>
          </cell>
          <cell r="D53" t="str">
            <v xml:space="preserve"> PATZICIA</v>
          </cell>
        </row>
        <row r="54">
          <cell r="A54" t="str">
            <v>TECPAN</v>
          </cell>
          <cell r="B54">
            <v>108936</v>
          </cell>
          <cell r="C54">
            <v>105007</v>
          </cell>
          <cell r="D54" t="str">
            <v>TECPAN</v>
          </cell>
        </row>
        <row r="55">
          <cell r="A55" t="str">
            <v>SANARATE CENTRO</v>
          </cell>
          <cell r="B55">
            <v>108107</v>
          </cell>
          <cell r="C55">
            <v>104531</v>
          </cell>
          <cell r="D55" t="str">
            <v>SANARATE CENTRO TASA- CIF</v>
          </cell>
        </row>
        <row r="56">
          <cell r="A56" t="str">
            <v>SANARATE</v>
          </cell>
          <cell r="B56">
            <v>108104</v>
          </cell>
          <cell r="C56">
            <v>105974</v>
          </cell>
          <cell r="D56" t="str">
            <v>SANARATE</v>
          </cell>
        </row>
        <row r="57">
          <cell r="A57" t="str">
            <v>SAN RAMON II</v>
          </cell>
          <cell r="B57">
            <v>700502</v>
          </cell>
          <cell r="C57">
            <v>702406</v>
          </cell>
          <cell r="D57" t="str">
            <v xml:space="preserve"> SAN RAMON II</v>
          </cell>
        </row>
        <row r="58">
          <cell r="A58" t="str">
            <v>SANARATE</v>
          </cell>
          <cell r="B58" t="str">
            <v>700010</v>
          </cell>
          <cell r="C58">
            <v>702745</v>
          </cell>
          <cell r="D58" t="str">
            <v>SANARATE</v>
          </cell>
        </row>
        <row r="59">
          <cell r="A59" t="str">
            <v>AGUA CALIENTE</v>
          </cell>
          <cell r="B59">
            <v>700968</v>
          </cell>
          <cell r="C59">
            <v>702141</v>
          </cell>
          <cell r="D59" t="str">
            <v>AGUA CALIENTE</v>
          </cell>
        </row>
        <row r="60">
          <cell r="A60" t="str">
            <v>CHIQUIMULA</v>
          </cell>
          <cell r="B60">
            <v>108028</v>
          </cell>
          <cell r="C60">
            <v>104090</v>
          </cell>
          <cell r="D60" t="str">
            <v>CHIQUIMULA</v>
          </cell>
        </row>
        <row r="61">
          <cell r="A61" t="str">
            <v>TERMINAL ZACAPA</v>
          </cell>
          <cell r="B61">
            <v>700526</v>
          </cell>
          <cell r="C61">
            <v>702905</v>
          </cell>
          <cell r="D61" t="str">
            <v>TERMINAL ZACAPA</v>
          </cell>
        </row>
        <row r="62">
          <cell r="A62" t="str">
            <v>RIO HONDO</v>
          </cell>
          <cell r="B62">
            <v>700410</v>
          </cell>
          <cell r="C62">
            <v>717943</v>
          </cell>
          <cell r="D62" t="str">
            <v xml:space="preserve"> RIO HONDO</v>
          </cell>
        </row>
        <row r="63">
          <cell r="A63" t="str">
            <v>SANTA CRUZ ZACAPA</v>
          </cell>
          <cell r="B63">
            <v>700508</v>
          </cell>
          <cell r="C63">
            <v>702253</v>
          </cell>
          <cell r="D63" t="str">
            <v xml:space="preserve"> SANTA CRUZ ZACAPA</v>
          </cell>
        </row>
        <row r="64">
          <cell r="A64" t="str">
            <v>LAS AMERICAS/BARRIOS</v>
          </cell>
          <cell r="B64">
            <v>700419</v>
          </cell>
          <cell r="C64">
            <v>702158</v>
          </cell>
          <cell r="D64" t="str">
            <v>LAS AMERICAS BARRIOS</v>
          </cell>
        </row>
        <row r="65">
          <cell r="A65" t="str">
            <v>Santa Elena</v>
          </cell>
          <cell r="B65">
            <v>700040</v>
          </cell>
          <cell r="C65">
            <v>702160</v>
          </cell>
          <cell r="D65" t="str">
            <v xml:space="preserve"> Santa Elena</v>
          </cell>
        </row>
        <row r="66">
          <cell r="A66" t="str">
            <v>CARLOS V</v>
          </cell>
          <cell r="B66">
            <v>700709</v>
          </cell>
          <cell r="C66">
            <v>702259</v>
          </cell>
          <cell r="D66" t="str">
            <v>CARLOS V</v>
          </cell>
        </row>
        <row r="67">
          <cell r="A67" t="str">
            <v>VERAPAZ SANTA CRUZ</v>
          </cell>
          <cell r="B67">
            <v>700170</v>
          </cell>
          <cell r="C67">
            <v>702262</v>
          </cell>
          <cell r="D67" t="str">
            <v>VERAPAZ SANTA CRUZ</v>
          </cell>
        </row>
        <row r="68">
          <cell r="A68" t="str">
            <v>San Antonio Jutiapa</v>
          </cell>
          <cell r="B68">
            <v>108052</v>
          </cell>
          <cell r="C68">
            <v>105963</v>
          </cell>
          <cell r="D68" t="str">
            <v>San Antonio Jutiapa</v>
          </cell>
        </row>
        <row r="69">
          <cell r="A69" t="str">
            <v>JUTIAPA</v>
          </cell>
          <cell r="B69">
            <v>108027</v>
          </cell>
          <cell r="C69">
            <v>105232</v>
          </cell>
          <cell r="D69" t="str">
            <v>JUTIAPA</v>
          </cell>
        </row>
        <row r="70">
          <cell r="A70" t="str">
            <v>BARBERENA</v>
          </cell>
          <cell r="B70">
            <v>108026</v>
          </cell>
          <cell r="C70">
            <v>105231</v>
          </cell>
          <cell r="D70" t="str">
            <v>BARBERENA</v>
          </cell>
        </row>
        <row r="71">
          <cell r="A71" t="str">
            <v>SAN CARLOS SIJA</v>
          </cell>
          <cell r="B71">
            <v>108928</v>
          </cell>
          <cell r="C71">
            <v>105116</v>
          </cell>
          <cell r="D71" t="str">
            <v>SAN CARLOS SIJA</v>
          </cell>
        </row>
        <row r="72">
          <cell r="A72" t="str">
            <v>TERMINAL HUEHUETENANGO</v>
          </cell>
          <cell r="B72">
            <v>108102</v>
          </cell>
          <cell r="C72">
            <v>105969</v>
          </cell>
          <cell r="D72" t="str">
            <v>TERMINAL HUEHUETENANGO</v>
          </cell>
        </row>
        <row r="73">
          <cell r="A73" t="str">
            <v>LAS VEGAS</v>
          </cell>
          <cell r="B73">
            <v>700648</v>
          </cell>
          <cell r="C73">
            <v>702358</v>
          </cell>
          <cell r="D73" t="str">
            <v xml:space="preserve"> LAS VEGAS</v>
          </cell>
        </row>
        <row r="74">
          <cell r="A74" t="str">
            <v>Totonicapan</v>
          </cell>
          <cell r="B74">
            <v>108087</v>
          </cell>
          <cell r="C74">
            <v>105110</v>
          </cell>
          <cell r="D74" t="str">
            <v>Totonicapan</v>
          </cell>
        </row>
        <row r="75">
          <cell r="A75" t="str">
            <v>SAN CRISTOBAL TOTONICAPAN</v>
          </cell>
          <cell r="B75">
            <v>108098</v>
          </cell>
          <cell r="C75">
            <v>105971</v>
          </cell>
          <cell r="D75" t="str">
            <v>SAN CRISTOBAL TOTONICAPAN</v>
          </cell>
        </row>
        <row r="76">
          <cell r="A76" t="str">
            <v>MONTE ALTO</v>
          </cell>
          <cell r="B76">
            <v>108096</v>
          </cell>
          <cell r="C76">
            <v>105967</v>
          </cell>
          <cell r="D76" t="str">
            <v>MONTE ALTO</v>
          </cell>
        </row>
        <row r="77">
          <cell r="A77" t="str">
            <v>SANTA CRUZ DEL QUICHÉ</v>
          </cell>
          <cell r="B77">
            <v>108089</v>
          </cell>
          <cell r="C77">
            <v>105965</v>
          </cell>
          <cell r="D77" t="str">
            <v>SANTA CRUZ DEL QUICHE</v>
          </cell>
        </row>
        <row r="78">
          <cell r="A78" t="str">
            <v>EL MANÁ</v>
          </cell>
          <cell r="B78">
            <v>108088</v>
          </cell>
          <cell r="C78">
            <v>105964</v>
          </cell>
          <cell r="D78" t="str">
            <v>EL MANA</v>
          </cell>
        </row>
        <row r="79">
          <cell r="A79" t="str">
            <v>LOS SAUCES XELA</v>
          </cell>
          <cell r="B79">
            <v>108926</v>
          </cell>
          <cell r="C79">
            <v>105114</v>
          </cell>
          <cell r="D79" t="str">
            <v>LOS SAUCES XELA</v>
          </cell>
        </row>
        <row r="80">
          <cell r="A80" t="str">
            <v>ALMOLONGA</v>
          </cell>
          <cell r="B80">
            <v>108072</v>
          </cell>
          <cell r="C80">
            <v>105246</v>
          </cell>
          <cell r="D80" t="str">
            <v>ALMOLONGA</v>
          </cell>
        </row>
        <row r="81">
          <cell r="A81" t="str">
            <v>TECUN XELA</v>
          </cell>
          <cell r="B81">
            <v>108101</v>
          </cell>
          <cell r="C81">
            <v>105111</v>
          </cell>
          <cell r="D81" t="str">
            <v>TECÚN XELA</v>
          </cell>
        </row>
        <row r="82">
          <cell r="A82" t="str">
            <v>SALCAJÁ</v>
          </cell>
          <cell r="B82">
            <v>700638</v>
          </cell>
          <cell r="C82">
            <v>702354</v>
          </cell>
          <cell r="D82" t="str">
            <v xml:space="preserve"> SALCAJA</v>
          </cell>
        </row>
        <row r="83">
          <cell r="A83" t="str">
            <v>LAS AMERICAS/QUEZALTENANGO</v>
          </cell>
          <cell r="B83">
            <v>700402</v>
          </cell>
          <cell r="C83">
            <v>702315</v>
          </cell>
          <cell r="D83" t="str">
            <v xml:space="preserve"> LAS AMERICAS XELA/PEDID</v>
          </cell>
        </row>
        <row r="84">
          <cell r="A84" t="str">
            <v>CUESTA BLANCA</v>
          </cell>
          <cell r="B84">
            <v>700605</v>
          </cell>
          <cell r="C84">
            <v>702332</v>
          </cell>
          <cell r="D84" t="str">
            <v xml:space="preserve"> CUESTA BLANCA/CONSIGNA/</v>
          </cell>
        </row>
        <row r="85">
          <cell r="A85" t="str">
            <v>SAN MATEO</v>
          </cell>
          <cell r="B85">
            <v>108099</v>
          </cell>
          <cell r="C85">
            <v>105152</v>
          </cell>
          <cell r="D85" t="str">
            <v>SAN MATEO</v>
          </cell>
        </row>
        <row r="86">
          <cell r="A86" t="str">
            <v>LLANO GRANDE</v>
          </cell>
          <cell r="B86">
            <v>108094</v>
          </cell>
          <cell r="C86">
            <v>105970</v>
          </cell>
          <cell r="D86" t="str">
            <v>LLANO GRANDE</v>
          </cell>
        </row>
        <row r="87">
          <cell r="A87" t="str">
            <v>CENTRO QUETZALTENANGO</v>
          </cell>
          <cell r="B87">
            <v>108093</v>
          </cell>
          <cell r="C87">
            <v>105112</v>
          </cell>
          <cell r="D87" t="str">
            <v>CENTRO QUETZALTENANGO</v>
          </cell>
        </row>
        <row r="88">
          <cell r="A88" t="str">
            <v>CANTEL</v>
          </cell>
          <cell r="B88">
            <v>108092</v>
          </cell>
          <cell r="C88">
            <v>105966</v>
          </cell>
          <cell r="D88" t="str">
            <v>CANTEL</v>
          </cell>
        </row>
        <row r="89">
          <cell r="A89" t="str">
            <v>LOS LAURELES COATEPEQUE</v>
          </cell>
          <cell r="B89">
            <v>108927</v>
          </cell>
          <cell r="C89">
            <v>105248</v>
          </cell>
          <cell r="D89" t="str">
            <v>LOS LAURELES COATEPEQUE</v>
          </cell>
        </row>
        <row r="90">
          <cell r="A90" t="str">
            <v>PQ</v>
          </cell>
          <cell r="B90">
            <v>700632</v>
          </cell>
          <cell r="C90">
            <v>702352</v>
          </cell>
          <cell r="D90" t="str">
            <v xml:space="preserve"> PQ - NRA</v>
          </cell>
        </row>
        <row r="91">
          <cell r="A91" t="str">
            <v>VICTORIAS PALIN</v>
          </cell>
          <cell r="B91">
            <v>108002</v>
          </cell>
          <cell r="C91">
            <v>105207</v>
          </cell>
          <cell r="D91" t="str">
            <v>VICTORIAS PALIN</v>
          </cell>
        </row>
        <row r="92">
          <cell r="A92" t="str">
            <v>SUR</v>
          </cell>
          <cell r="B92">
            <v>108034</v>
          </cell>
          <cell r="C92">
            <v>105239</v>
          </cell>
          <cell r="D92" t="str">
            <v>SUR</v>
          </cell>
        </row>
        <row r="93">
          <cell r="A93" t="str">
            <v>PUERTO DE SAN JOSE</v>
          </cell>
          <cell r="B93">
            <v>108009</v>
          </cell>
          <cell r="C93">
            <v>101507</v>
          </cell>
          <cell r="D93" t="str">
            <v xml:space="preserve">PUERTO DE SAN JOSE </v>
          </cell>
        </row>
        <row r="94">
          <cell r="A94" t="str">
            <v>SANTA LUCIA</v>
          </cell>
          <cell r="B94">
            <v>108090</v>
          </cell>
          <cell r="C94">
            <v>105976</v>
          </cell>
          <cell r="D94" t="str">
            <v>SANTA LUCIA</v>
          </cell>
        </row>
        <row r="95">
          <cell r="A95" t="str">
            <v>TIQUI</v>
          </cell>
          <cell r="B95">
            <v>700528</v>
          </cell>
          <cell r="C95">
            <v>709755</v>
          </cell>
          <cell r="D95" t="str">
            <v xml:space="preserve"> TIQUI II           -FOB</v>
          </cell>
        </row>
        <row r="96">
          <cell r="A96" t="str">
            <v>MAZATENANGO (SAN BERNARDINO)</v>
          </cell>
          <cell r="B96">
            <v>108010</v>
          </cell>
          <cell r="C96">
            <v>105215</v>
          </cell>
          <cell r="D96" t="str">
            <v>MAZATENANGO</v>
          </cell>
        </row>
        <row r="97">
          <cell r="A97" t="str">
            <v>MAZATENANGO II</v>
          </cell>
          <cell r="B97">
            <v>108095</v>
          </cell>
          <cell r="C97">
            <v>105151</v>
          </cell>
          <cell r="D97" t="str">
            <v>MAZATENANGO II</v>
          </cell>
        </row>
        <row r="98">
          <cell r="A98" t="str">
            <v>EL TRIANGULO</v>
          </cell>
          <cell r="B98">
            <v>700948</v>
          </cell>
          <cell r="C98">
            <v>702155</v>
          </cell>
          <cell r="D98" t="str">
            <v>EL TRIANGULO</v>
          </cell>
        </row>
        <row r="99">
          <cell r="A99" t="str">
            <v>EL MOTORISTA</v>
          </cell>
          <cell r="B99">
            <v>108929</v>
          </cell>
          <cell r="C99">
            <v>105153</v>
          </cell>
          <cell r="D99" t="str">
            <v>EL MOTORISTA</v>
          </cell>
        </row>
        <row r="100">
          <cell r="A100" t="str">
            <v>SAN ANTONIO SUCHITEPEQUEZ</v>
          </cell>
          <cell r="B100">
            <v>108097</v>
          </cell>
          <cell r="C100">
            <v>105113</v>
          </cell>
          <cell r="D100" t="str">
            <v>SAN ANTONIO SUCHITEPÉQUEZ</v>
          </cell>
        </row>
        <row r="101">
          <cell r="A101" t="str">
            <v>COCALES</v>
          </cell>
          <cell r="B101">
            <v>108106</v>
          </cell>
          <cell r="C101">
            <v>105115</v>
          </cell>
          <cell r="D101" t="str">
            <v>COCALES</v>
          </cell>
        </row>
        <row r="102">
          <cell r="A102" t="str">
            <v>SAMALÁ</v>
          </cell>
          <cell r="B102">
            <v>700042</v>
          </cell>
          <cell r="C102">
            <v>717411</v>
          </cell>
          <cell r="D102" t="str">
            <v xml:space="preserve"> SAMALA</v>
          </cell>
        </row>
        <row r="103">
          <cell r="A103" t="str">
            <v>SAN SEBASTIAN</v>
          </cell>
          <cell r="B103">
            <v>108100</v>
          </cell>
          <cell r="C103">
            <v>105972</v>
          </cell>
          <cell r="D103" t="str">
            <v>SAN SEBASTIAN</v>
          </cell>
        </row>
        <row r="104">
          <cell r="A104" t="str">
            <v>LA CAPELLANIA</v>
          </cell>
          <cell r="B104">
            <v>108931</v>
          </cell>
          <cell r="C104">
            <v>105975</v>
          </cell>
          <cell r="D104" t="str">
            <v>LA CAPELLANÍA</v>
          </cell>
        </row>
        <row r="105">
          <cell r="A105" t="str">
            <v>SAN LUIS</v>
          </cell>
          <cell r="B105">
            <v>700184</v>
          </cell>
          <cell r="C105">
            <v>702908</v>
          </cell>
          <cell r="D105" t="str">
            <v xml:space="preserve"> SAN LUIS</v>
          </cell>
        </row>
        <row r="106">
          <cell r="A106" t="str">
            <v>ESCUINTLA</v>
          </cell>
          <cell r="B106">
            <v>700377</v>
          </cell>
          <cell r="C106">
            <v>702310</v>
          </cell>
          <cell r="D106" t="str">
            <v xml:space="preserve"> ESCUINTLA</v>
          </cell>
        </row>
        <row r="107">
          <cell r="A107" t="str">
            <v>MASAGUA</v>
          </cell>
          <cell r="B107">
            <v>700175</v>
          </cell>
          <cell r="C107">
            <v>702170</v>
          </cell>
          <cell r="D107" t="str">
            <v xml:space="preserve"> MASAGUA</v>
          </cell>
        </row>
        <row r="108">
          <cell r="A108" t="str">
            <v>CAYALA</v>
          </cell>
          <cell r="B108">
            <v>700623</v>
          </cell>
          <cell r="C108">
            <v>702351</v>
          </cell>
          <cell r="D108" t="str">
            <v xml:space="preserve"> CAYALA</v>
          </cell>
        </row>
        <row r="109">
          <cell r="A109" t="str">
            <v>AEROPUERTO</v>
          </cell>
          <cell r="B109">
            <v>700429</v>
          </cell>
          <cell r="C109">
            <v>702326</v>
          </cell>
          <cell r="D109" t="str">
            <v xml:space="preserve"> AEROPUERTO/CONSIGNACIÓN</v>
          </cell>
        </row>
        <row r="110">
          <cell r="A110" t="str">
            <v>ALDANA</v>
          </cell>
          <cell r="B110">
            <v>700561</v>
          </cell>
          <cell r="C110">
            <v>702342</v>
          </cell>
          <cell r="D110" t="str">
            <v xml:space="preserve"> ALDANA CONSIGNACION</v>
          </cell>
        </row>
        <row r="111">
          <cell r="A111" t="str">
            <v>BETHANIA</v>
          </cell>
          <cell r="B111">
            <v>700562</v>
          </cell>
          <cell r="C111">
            <v>702331</v>
          </cell>
          <cell r="D111" t="str">
            <v xml:space="preserve"> BETHANIA/CONSIGNACIÓN</v>
          </cell>
        </row>
        <row r="112">
          <cell r="A112" t="str">
            <v>EL RODEO</v>
          </cell>
          <cell r="B112">
            <v>700450</v>
          </cell>
          <cell r="C112">
            <v>702329</v>
          </cell>
          <cell r="D112" t="str">
            <v xml:space="preserve"> EL RODEO/CONSIGNACIÓN</v>
          </cell>
        </row>
        <row r="113">
          <cell r="A113" t="str">
            <v>ROOSEVELT</v>
          </cell>
          <cell r="B113">
            <v>700469</v>
          </cell>
          <cell r="C113">
            <v>702346</v>
          </cell>
          <cell r="D113" t="str">
            <v xml:space="preserve"> ROOSEVELT</v>
          </cell>
        </row>
        <row r="114">
          <cell r="A114" t="str">
            <v>CIUDAD SAN CRISTÓBAL</v>
          </cell>
          <cell r="B114">
            <v>700575</v>
          </cell>
          <cell r="C114">
            <v>702312</v>
          </cell>
          <cell r="D114" t="str">
            <v xml:space="preserve"> SAN CRISTOBAL</v>
          </cell>
        </row>
        <row r="115">
          <cell r="A115" t="str">
            <v>SAN CRISTÓBAL II</v>
          </cell>
          <cell r="B115">
            <v>700631</v>
          </cell>
          <cell r="C115">
            <v>702353</v>
          </cell>
          <cell r="D115" t="str">
            <v xml:space="preserve"> SAN CRISTOBAL II</v>
          </cell>
        </row>
        <row r="116">
          <cell r="A116" t="str">
            <v>PUERTA PARADA</v>
          </cell>
          <cell r="B116">
            <v>700790</v>
          </cell>
          <cell r="C116">
            <v>702145</v>
          </cell>
          <cell r="D116" t="str">
            <v xml:space="preserve"> PUERTA PARADA</v>
          </cell>
        </row>
        <row r="117">
          <cell r="A117" t="str">
            <v>CONDADO CONCEPCIÓN</v>
          </cell>
          <cell r="B117">
            <v>700571</v>
          </cell>
          <cell r="C117">
            <v>702311</v>
          </cell>
          <cell r="D117" t="str">
            <v xml:space="preserve"> CONDADO CON CONSIGNACIÓN</v>
          </cell>
        </row>
        <row r="118">
          <cell r="A118" t="str">
            <v>MIRADOR PALO GORDO</v>
          </cell>
          <cell r="B118">
            <v>700167</v>
          </cell>
          <cell r="C118">
            <v>702169</v>
          </cell>
          <cell r="D118" t="str">
            <v xml:space="preserve"> EL MIRADOR PALO GORDO</v>
          </cell>
        </row>
        <row r="119">
          <cell r="A119" t="str">
            <v>SAN ANTONIO PALO GORDO</v>
          </cell>
          <cell r="B119">
            <v>700082</v>
          </cell>
          <cell r="C119">
            <v>702421</v>
          </cell>
          <cell r="D119" t="str">
            <v xml:space="preserve"> SAN ANTONIO PALO GORDO</v>
          </cell>
        </row>
        <row r="120">
          <cell r="A120" t="str">
            <v>RIO BRAVO</v>
          </cell>
          <cell r="B120">
            <v>700089</v>
          </cell>
          <cell r="C120">
            <v>702254</v>
          </cell>
          <cell r="D120" t="str">
            <v xml:space="preserve"> RIO BRAVO</v>
          </cell>
        </row>
        <row r="121">
          <cell r="A121" t="str">
            <v>MONJAS JALAPA</v>
          </cell>
          <cell r="B121">
            <v>108119</v>
          </cell>
          <cell r="C121">
            <v>105978</v>
          </cell>
          <cell r="D121" t="str">
            <v>MONJAS JALAPA</v>
          </cell>
        </row>
        <row r="122">
          <cell r="A122" t="str">
            <v>AVENIDA CHIPILAPA</v>
          </cell>
          <cell r="B122">
            <v>108941</v>
          </cell>
          <cell r="C122">
            <v>105979</v>
          </cell>
          <cell r="D122" t="str">
            <v xml:space="preserve">AVENIDA CHIPILAPA </v>
          </cell>
        </row>
        <row r="123">
          <cell r="A123" t="str">
            <v>JALAPA</v>
          </cell>
          <cell r="B123">
            <v>108940</v>
          </cell>
          <cell r="C123">
            <v>105980</v>
          </cell>
          <cell r="D123" t="str">
            <v>JALAPA</v>
          </cell>
        </row>
        <row r="124">
          <cell r="A124" t="str">
            <v>LA ESPERANZA XELA</v>
          </cell>
          <cell r="B124">
            <v>700085</v>
          </cell>
          <cell r="C124">
            <v>702414</v>
          </cell>
          <cell r="D124" t="str">
            <v xml:space="preserve"> LA ESPERANZA XELA</v>
          </cell>
        </row>
        <row r="125">
          <cell r="A125" t="str">
            <v>ARCO PLAZA</v>
          </cell>
          <cell r="B125">
            <v>700171</v>
          </cell>
          <cell r="C125">
            <v>702873</v>
          </cell>
          <cell r="D125" t="str">
            <v xml:space="preserve"> ARCO PLAZA</v>
          </cell>
        </row>
        <row r="126">
          <cell r="A126" t="str">
            <v>LAS ROSAS XELA</v>
          </cell>
          <cell r="B126">
            <v>700086</v>
          </cell>
          <cell r="C126">
            <v>702258</v>
          </cell>
          <cell r="D126" t="str">
            <v xml:space="preserve"> LAS ROSAS XELA</v>
          </cell>
        </row>
        <row r="127">
          <cell r="A127" t="str">
            <v>CUATRO CAMINOS</v>
          </cell>
          <cell r="B127">
            <v>700340</v>
          </cell>
          <cell r="C127">
            <v>702340</v>
          </cell>
          <cell r="D127" t="str">
            <v xml:space="preserve"> CUATRO CAMINOS</v>
          </cell>
        </row>
        <row r="128">
          <cell r="A128" t="str">
            <v>EL TANQUE</v>
          </cell>
          <cell r="B128">
            <v>700658</v>
          </cell>
          <cell r="C128">
            <v>702359</v>
          </cell>
          <cell r="D128" t="str">
            <v xml:space="preserve">  EL TANQUE</v>
          </cell>
        </row>
        <row r="129">
          <cell r="A129" t="str">
            <v>QUICHE</v>
          </cell>
          <cell r="B129">
            <v>700178</v>
          </cell>
          <cell r="C129">
            <v>702909</v>
          </cell>
          <cell r="D129" t="str">
            <v xml:space="preserve"> QUICHE</v>
          </cell>
        </row>
        <row r="130">
          <cell r="A130" t="str">
            <v>SAN SEBASTIAN</v>
          </cell>
          <cell r="B130">
            <v>700503</v>
          </cell>
          <cell r="C130">
            <v>702910</v>
          </cell>
          <cell r="D130" t="str">
            <v xml:space="preserve"> SAN SEBASTIAN</v>
          </cell>
        </row>
        <row r="131">
          <cell r="A131" t="str">
            <v>EL MANACAL</v>
          </cell>
          <cell r="B131">
            <v>108083</v>
          </cell>
          <cell r="C131">
            <v>103840</v>
          </cell>
          <cell r="D131" t="str">
            <v xml:space="preserve"> EL MANACAL</v>
          </cell>
        </row>
        <row r="132">
          <cell r="A132" t="str">
            <v>LLANO LARGO</v>
          </cell>
          <cell r="B132">
            <v>108122</v>
          </cell>
          <cell r="C132">
            <v>105982</v>
          </cell>
          <cell r="D132" t="str">
            <v>LLANO LARGO</v>
          </cell>
        </row>
        <row r="133">
          <cell r="A133" t="str">
            <v>COBAN</v>
          </cell>
          <cell r="B133">
            <v>108946</v>
          </cell>
          <cell r="C133">
            <v>105154</v>
          </cell>
          <cell r="D133" t="str">
            <v>COBAN</v>
          </cell>
        </row>
        <row r="134">
          <cell r="A134" t="str">
            <v>LA COMUNIDAD SAN MARCOS</v>
          </cell>
          <cell r="B134">
            <v>700201</v>
          </cell>
          <cell r="C134">
            <v>658901</v>
          </cell>
          <cell r="D134" t="str">
            <v xml:space="preserve"> LA COMUNIDAD SAN MARCOS</v>
          </cell>
        </row>
        <row r="135">
          <cell r="A135" t="str">
            <v>CENTRO MALACATÁN</v>
          </cell>
          <cell r="B135">
            <v>700438</v>
          </cell>
          <cell r="C135">
            <v>702261</v>
          </cell>
          <cell r="D135" t="str">
            <v xml:space="preserve"> CENTRO MALACATAN </v>
          </cell>
        </row>
        <row r="136">
          <cell r="A136" t="str">
            <v>JALAPA</v>
          </cell>
          <cell r="B136">
            <v>700094</v>
          </cell>
          <cell r="C136">
            <v>702266</v>
          </cell>
          <cell r="D136" t="str">
            <v xml:space="preserve"> JALAPA</v>
          </cell>
        </row>
        <row r="137">
          <cell r="A137" t="str">
            <v>JOCOTENANGO</v>
          </cell>
          <cell r="B137">
            <v>700708</v>
          </cell>
          <cell r="C137">
            <v>702260</v>
          </cell>
          <cell r="D137" t="str">
            <v xml:space="preserve"> JOCOTENANGO</v>
          </cell>
        </row>
        <row r="138">
          <cell r="A138" t="str">
            <v>QUESADA</v>
          </cell>
          <cell r="B138">
            <v>108120</v>
          </cell>
          <cell r="C138">
            <v>106080</v>
          </cell>
          <cell r="D138" t="str">
            <v xml:space="preserve"> QUESADA</v>
          </cell>
        </row>
        <row r="139">
          <cell r="A139" t="str">
            <v>EL PEÑON</v>
          </cell>
          <cell r="B139">
            <v>108942</v>
          </cell>
          <cell r="C139">
            <v>105117</v>
          </cell>
          <cell r="D139" t="str">
            <v>EL PEÑON</v>
          </cell>
        </row>
        <row r="140">
          <cell r="A140" t="str">
            <v>JUTIAPILLA</v>
          </cell>
          <cell r="B140">
            <v>108944</v>
          </cell>
          <cell r="C140">
            <v>105091</v>
          </cell>
          <cell r="D140" t="str">
            <v>JUTIAPILLA</v>
          </cell>
        </row>
        <row r="141">
          <cell r="A141" t="str">
            <v>TECULUTAN</v>
          </cell>
          <cell r="B141">
            <v>108125</v>
          </cell>
          <cell r="C141">
            <v>105155</v>
          </cell>
          <cell r="D141" t="str">
            <v>TECULUTAN</v>
          </cell>
        </row>
        <row r="142">
          <cell r="A142" t="str">
            <v>LA BENDICION COATEPEQUE</v>
          </cell>
          <cell r="B142">
            <v>700975</v>
          </cell>
          <cell r="C142">
            <v>702366</v>
          </cell>
          <cell r="D142" t="str">
            <v xml:space="preserve"> LA BENDICION COATEPEQUE </v>
          </cell>
        </row>
        <row r="143">
          <cell r="A143" t="str">
            <v>PREMIER ESCUINTLA</v>
          </cell>
          <cell r="B143">
            <v>108953</v>
          </cell>
          <cell r="C143">
            <v>106428</v>
          </cell>
          <cell r="D143" t="str">
            <v>PREMIER ESCUINTLA</v>
          </cell>
        </row>
        <row r="144">
          <cell r="A144" t="str">
            <v>SALAMA</v>
          </cell>
          <cell r="B144">
            <v>108945</v>
          </cell>
          <cell r="C144">
            <v>106084</v>
          </cell>
          <cell r="D144" t="str">
            <v xml:space="preserve"> SALAMA</v>
          </cell>
        </row>
        <row r="145">
          <cell r="A145" t="str">
            <v>PRADOS DE VILLA HERMOSA</v>
          </cell>
          <cell r="B145">
            <v>108126</v>
          </cell>
          <cell r="C145">
            <v>105249</v>
          </cell>
          <cell r="D145" t="str">
            <v xml:space="preserve"> PRADOS DE VILLA HERMOSA</v>
          </cell>
        </row>
        <row r="146">
          <cell r="A146" t="str">
            <v>SIQUINALÁ</v>
          </cell>
          <cell r="B146">
            <v>108939</v>
          </cell>
          <cell r="C146">
            <v>104999</v>
          </cell>
          <cell r="D146" t="str">
            <v xml:space="preserve"> SIQUINALÁ</v>
          </cell>
        </row>
        <row r="147">
          <cell r="A147" t="str">
            <v>MONTUFAR</v>
          </cell>
          <cell r="B147">
            <v>108091</v>
          </cell>
          <cell r="C147">
            <v>104073</v>
          </cell>
          <cell r="D147" t="str">
            <v xml:space="preserve"> MONTUFAR</v>
          </cell>
        </row>
        <row r="148">
          <cell r="A148" t="str">
            <v>SUMPANGO</v>
          </cell>
          <cell r="B148">
            <v>108132</v>
          </cell>
          <cell r="C148">
            <v>105033</v>
          </cell>
          <cell r="D148" t="str">
            <v xml:space="preserve"> SUMPANGO</v>
          </cell>
        </row>
        <row r="149">
          <cell r="A149" t="str">
            <v>PALMERAS ESCUINTLA</v>
          </cell>
          <cell r="B149">
            <v>108128</v>
          </cell>
          <cell r="C149">
            <v>106774</v>
          </cell>
          <cell r="D149" t="str">
            <v xml:space="preserve"> PALMERAS ESCUINTLA</v>
          </cell>
        </row>
        <row r="150">
          <cell r="A150" t="str">
            <v>FER</v>
          </cell>
          <cell r="B150">
            <v>700670</v>
          </cell>
          <cell r="C150">
            <v>661180</v>
          </cell>
          <cell r="D150" t="str">
            <v xml:space="preserve"> FER                 </v>
          </cell>
        </row>
        <row r="151">
          <cell r="A151" t="str">
            <v>MORAZAN</v>
          </cell>
          <cell r="B151">
            <v>700860</v>
          </cell>
          <cell r="C151">
            <v>661580</v>
          </cell>
          <cell r="D151" t="str">
            <v xml:space="preserve"> MORAZAN</v>
          </cell>
        </row>
        <row r="152">
          <cell r="A152" t="str">
            <v>XELA NORTE</v>
          </cell>
          <cell r="B152">
            <v>108085</v>
          </cell>
          <cell r="C152">
            <v>106983</v>
          </cell>
          <cell r="D152" t="str">
            <v xml:space="preserve"> XELA NORTE</v>
          </cell>
        </row>
        <row r="153">
          <cell r="A153" t="str">
            <v>CUYOTENANGO</v>
          </cell>
          <cell r="B153">
            <v>700860</v>
          </cell>
          <cell r="C153">
            <v>661695</v>
          </cell>
          <cell r="D153" t="str">
            <v xml:space="preserve"> CUYOTENANGO</v>
          </cell>
        </row>
        <row r="154">
          <cell r="A154" t="str">
            <v>PUERTO BARRIOS</v>
          </cell>
          <cell r="B154">
            <v>700860</v>
          </cell>
          <cell r="C154">
            <v>661580</v>
          </cell>
          <cell r="D154" t="str">
            <v xml:space="preserve"> PUERTO BARRIOS</v>
          </cell>
        </row>
        <row r="155">
          <cell r="A155" t="str">
            <v>RIO DULCE</v>
          </cell>
          <cell r="B155">
            <v>700860</v>
          </cell>
          <cell r="C155">
            <v>661798</v>
          </cell>
          <cell r="D155" t="str">
            <v xml:space="preserve"> RIO DULCE</v>
          </cell>
        </row>
        <row r="156">
          <cell r="A156" t="str">
            <v>BELLA VISTA VILLA NUEVA</v>
          </cell>
          <cell r="B156">
            <v>108148</v>
          </cell>
          <cell r="C156">
            <v>107103</v>
          </cell>
          <cell r="D156" t="str">
            <v xml:space="preserve"> BELLA VISTA VILLA NUEVA</v>
          </cell>
        </row>
        <row r="157">
          <cell r="A157" t="str">
            <v>LIBRAMIENTO BARBERENA</v>
          </cell>
          <cell r="B157">
            <v>108938</v>
          </cell>
          <cell r="C157">
            <v>107163</v>
          </cell>
          <cell r="D157" t="str">
            <v xml:space="preserve"> LIBRAMIENTO BARBERENA</v>
          </cell>
        </row>
        <row r="158">
          <cell r="A158" t="str">
            <v>DEL ATLANTICO</v>
          </cell>
          <cell r="B158">
            <v>651096</v>
          </cell>
          <cell r="C158">
            <v>663096</v>
          </cell>
          <cell r="D158" t="str">
            <v xml:space="preserve"> DEL ATLANTICO </v>
          </cell>
        </row>
        <row r="159">
          <cell r="A159" t="str">
            <v>EXPLANADA SAN PEDRITO</v>
          </cell>
          <cell r="B159">
            <v>651097</v>
          </cell>
          <cell r="C159">
            <v>663097</v>
          </cell>
          <cell r="D159" t="str">
            <v xml:space="preserve"> EXPLANADA SAN PEDRITO</v>
          </cell>
        </row>
        <row r="160">
          <cell r="A160" t="str">
            <v>HINCAPIE</v>
          </cell>
          <cell r="B160">
            <v>651098</v>
          </cell>
          <cell r="C160">
            <v>663106</v>
          </cell>
          <cell r="D160" t="str">
            <v xml:space="preserve"> HINCAPIE</v>
          </cell>
        </row>
        <row r="161">
          <cell r="A161" t="str">
            <v>AVENIDA PETAPA</v>
          </cell>
          <cell r="B161">
            <v>651095</v>
          </cell>
          <cell r="C161">
            <v>663105</v>
          </cell>
          <cell r="D161" t="str">
            <v xml:space="preserve"> AVENIDA PETAPA</v>
          </cell>
        </row>
        <row r="162">
          <cell r="A162" t="str">
            <v>LAS BRISAS</v>
          </cell>
          <cell r="B162">
            <v>651099</v>
          </cell>
          <cell r="C162">
            <v>663095</v>
          </cell>
          <cell r="D162" t="str">
            <v xml:space="preserve"> LAS BRISAS</v>
          </cell>
        </row>
        <row r="163">
          <cell r="A163" t="str">
            <v>QUETZALTEPEQUE</v>
          </cell>
          <cell r="B163">
            <v>700860</v>
          </cell>
          <cell r="C163">
            <v>663133</v>
          </cell>
          <cell r="D163" t="str">
            <v xml:space="preserve"> QUETZALTEPEQUE</v>
          </cell>
        </row>
        <row r="164">
          <cell r="A164" t="str">
            <v>OLOPITA</v>
          </cell>
          <cell r="B164">
            <v>700860</v>
          </cell>
          <cell r="C164">
            <v>663149</v>
          </cell>
          <cell r="D164" t="str">
            <v xml:space="preserve"> OLOPITA</v>
          </cell>
        </row>
        <row r="165">
          <cell r="A165" t="str">
            <v>PLAYA GRANDE</v>
          </cell>
          <cell r="B165">
            <v>700860</v>
          </cell>
          <cell r="C165">
            <v>662001</v>
          </cell>
          <cell r="D165" t="str">
            <v xml:space="preserve"> PLAYA GRANDE</v>
          </cell>
        </row>
        <row r="166">
          <cell r="A166" t="str">
            <v>LAS PALMAS</v>
          </cell>
          <cell r="B166">
            <v>700860</v>
          </cell>
          <cell r="C166">
            <v>662074</v>
          </cell>
          <cell r="D166" t="str">
            <v xml:space="preserve"> LAS PALMAS</v>
          </cell>
        </row>
        <row r="167">
          <cell r="A167" t="str">
            <v>DON TITO GUASTATOYA</v>
          </cell>
          <cell r="B167">
            <v>700860</v>
          </cell>
          <cell r="C167">
            <v>663125</v>
          </cell>
          <cell r="D167" t="str">
            <v xml:space="preserve"> DON TITO GUASTATOYA</v>
          </cell>
        </row>
        <row r="168">
          <cell r="A168" t="str">
            <v>VISTAS DE SANTA ELISA</v>
          </cell>
          <cell r="B168">
            <v>108137</v>
          </cell>
          <cell r="C168">
            <v>106715</v>
          </cell>
          <cell r="D168" t="str">
            <v xml:space="preserve"> VISTAS DE SANTA ELISA</v>
          </cell>
        </row>
        <row r="169">
          <cell r="A169" t="str">
            <v>EL RANCHO</v>
          </cell>
          <cell r="B169">
            <v>108141</v>
          </cell>
          <cell r="C169">
            <v>106862</v>
          </cell>
          <cell r="D169" t="str">
            <v xml:space="preserve"> EL RANCHO</v>
          </cell>
        </row>
        <row r="170">
          <cell r="A170" t="str">
            <v>TEJUTLA</v>
          </cell>
          <cell r="B170">
            <v>108108</v>
          </cell>
          <cell r="C170">
            <v>106882</v>
          </cell>
          <cell r="D170" t="str">
            <v xml:space="preserve"> TEJUTLA</v>
          </cell>
        </row>
        <row r="171">
          <cell r="A171" t="str">
            <v>MASAGUA</v>
          </cell>
          <cell r="B171">
            <v>108134</v>
          </cell>
          <cell r="C171">
            <v>106837</v>
          </cell>
          <cell r="D171" t="str">
            <v xml:space="preserve"> MASAGUA</v>
          </cell>
        </row>
        <row r="172">
          <cell r="A172" t="str">
            <v>SAN BENITO</v>
          </cell>
          <cell r="B172">
            <v>700965</v>
          </cell>
          <cell r="C172">
            <v>661358</v>
          </cell>
          <cell r="D172" t="str">
            <v xml:space="preserve"> SAN BENITO</v>
          </cell>
        </row>
        <row r="173">
          <cell r="A173" t="str">
            <v>PANORAMA</v>
          </cell>
          <cell r="B173">
            <v>651083</v>
          </cell>
          <cell r="C173">
            <v>663243</v>
          </cell>
          <cell r="D173" t="str">
            <v xml:space="preserve"> PANORAMA</v>
          </cell>
        </row>
        <row r="174">
          <cell r="A174" t="str">
            <v>CENTRO PREMIER ESCUINTLA</v>
          </cell>
          <cell r="B174">
            <v>700860</v>
          </cell>
          <cell r="C174">
            <v>663292</v>
          </cell>
          <cell r="D174" t="str">
            <v xml:space="preserve"> CENTRO PREMIER ESCUINTLA</v>
          </cell>
        </row>
        <row r="175">
          <cell r="A175" t="str">
            <v>TAXISCO</v>
          </cell>
          <cell r="B175">
            <v>651102</v>
          </cell>
          <cell r="C175">
            <v>663347</v>
          </cell>
          <cell r="D175" t="str">
            <v xml:space="preserve"> TAXISCO</v>
          </cell>
        </row>
        <row r="176">
          <cell r="A176" t="str">
            <v>BAJA VERAPAZ</v>
          </cell>
          <cell r="B176">
            <v>651104</v>
          </cell>
          <cell r="C176">
            <v>663339</v>
          </cell>
          <cell r="D176" t="str">
            <v xml:space="preserve"> BAJA VERAPAZ</v>
          </cell>
        </row>
        <row r="177">
          <cell r="A177" t="str">
            <v>CALZADA CENTENARIO QUICHE</v>
          </cell>
          <cell r="B177">
            <v>651094</v>
          </cell>
          <cell r="C177">
            <v>663527</v>
          </cell>
          <cell r="D177" t="str">
            <v xml:space="preserve"> CALZADA CENTENARIO QUICHE</v>
          </cell>
        </row>
        <row r="178">
          <cell r="A178" t="str">
            <v>ENTRE BOSQUES</v>
          </cell>
          <cell r="B178">
            <v>651216</v>
          </cell>
          <cell r="C178">
            <v>663517</v>
          </cell>
          <cell r="D178" t="str">
            <v xml:space="preserve"> ENTRE BOSQUES</v>
          </cell>
        </row>
        <row r="179">
          <cell r="A179" t="str">
            <v>ALOTENANGO</v>
          </cell>
          <cell r="B179">
            <v>651192</v>
          </cell>
          <cell r="C179">
            <v>663574</v>
          </cell>
          <cell r="D179" t="str">
            <v xml:space="preserve"> ALOTENANGO</v>
          </cell>
        </row>
        <row r="180">
          <cell r="A180" t="str">
            <v>TRAPICHE ABAJO</v>
          </cell>
          <cell r="B180">
            <v>700860</v>
          </cell>
          <cell r="C180">
            <v>663713</v>
          </cell>
          <cell r="D180" t="str">
            <v xml:space="preserve"> TRAPICHE ABAJO</v>
          </cell>
        </row>
        <row r="181">
          <cell r="A181" t="str">
            <v>NAHUALA</v>
          </cell>
          <cell r="B181">
            <v>700166</v>
          </cell>
          <cell r="C181">
            <v>663694</v>
          </cell>
          <cell r="D181" t="str">
            <v xml:space="preserve"> NAHUALA</v>
          </cell>
        </row>
        <row r="182">
          <cell r="A182" t="str">
            <v>GUADALUPE</v>
          </cell>
          <cell r="B182">
            <v>700860</v>
          </cell>
          <cell r="C182">
            <v>663770</v>
          </cell>
          <cell r="D182" t="str">
            <v xml:space="preserve"> GUADALUPE</v>
          </cell>
        </row>
        <row r="183">
          <cell r="A183" t="str">
            <v>ENTRE FRONTERAS</v>
          </cell>
          <cell r="B183">
            <v>700860</v>
          </cell>
          <cell r="C183">
            <v>663714</v>
          </cell>
          <cell r="D183" t="str">
            <v xml:space="preserve"> ENTRE FRONTERAS</v>
          </cell>
        </row>
        <row r="184">
          <cell r="A184" t="str">
            <v>FUTICO</v>
          </cell>
          <cell r="B184">
            <v>651084</v>
          </cell>
          <cell r="C184">
            <v>664484</v>
          </cell>
          <cell r="D184" t="str">
            <v xml:space="preserve"> FUTICO</v>
          </cell>
        </row>
        <row r="185">
          <cell r="A185" t="str">
            <v>PLAZA TIQUISATE</v>
          </cell>
          <cell r="B185">
            <v>651190</v>
          </cell>
          <cell r="C185">
            <v>664436</v>
          </cell>
          <cell r="D185" t="str">
            <v xml:space="preserve"> PLAZA TIQUISATE</v>
          </cell>
        </row>
        <row r="186">
          <cell r="A186" t="str">
            <v>JUTIAPILLA</v>
          </cell>
          <cell r="B186">
            <v>700860</v>
          </cell>
          <cell r="C186">
            <v>664764</v>
          </cell>
          <cell r="D186" t="str">
            <v xml:space="preserve"> JUTIAPILLA</v>
          </cell>
        </row>
        <row r="187">
          <cell r="A187" t="str">
            <v>SAN ANTONIO SUCHI CENTRO</v>
          </cell>
          <cell r="B187">
            <v>700860</v>
          </cell>
          <cell r="C187">
            <v>664732</v>
          </cell>
          <cell r="D187" t="str">
            <v xml:space="preserve"> SAN ANTONIO SUCHI CENTRO</v>
          </cell>
        </row>
        <row r="188">
          <cell r="A188" t="str">
            <v>RIVERA DEL RIO</v>
          </cell>
          <cell r="B188">
            <v>651105</v>
          </cell>
          <cell r="C188">
            <v>664993</v>
          </cell>
          <cell r="D188" t="str">
            <v xml:space="preserve"> RIVERA DEL RIO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M171"/>
  <sheetViews>
    <sheetView tabSelected="1" zoomScaleNormal="100" zoomScaleSheetLayoutView="115" workbookViewId="0">
      <pane ySplit="1" topLeftCell="A118" activePane="bottomLeft" state="frozen"/>
      <selection pane="bottomLeft" activeCell="F183" sqref="F183"/>
    </sheetView>
  </sheetViews>
  <sheetFormatPr baseColWidth="8" defaultColWidth="9.140625" defaultRowHeight="12.75"/>
  <cols>
    <col width="9.140625" customWidth="1" style="1" min="1" max="2"/>
    <col width="41.140625" customWidth="1" style="1" min="3" max="3"/>
    <col width="20.5703125" bestFit="1" customWidth="1" style="1" min="4" max="4"/>
    <col width="31.140625" bestFit="1" customWidth="1" style="1" min="5" max="5"/>
    <col width="133.5703125" bestFit="1" customWidth="1" style="1" min="6" max="6"/>
    <col width="30.85546875" bestFit="1" customWidth="1" style="1" min="7" max="7"/>
    <col width="9.140625" customWidth="1" style="1" min="8" max="16384"/>
  </cols>
  <sheetData>
    <row r="1"/>
    <row r="2"/>
    <row r="3"/>
    <row r="4"/>
    <row r="5"/>
    <row r="6"/>
    <row r="7"/>
    <row r="8"/>
    <row r="9"/>
    <row r="10"/>
    <row r="11"/>
    <row r="12" ht="16.5" customHeight="1">
      <c r="A12" s="4" t="inlineStr">
        <is>
          <t>Espacio</t>
        </is>
      </c>
      <c r="B12" s="4" t="inlineStr">
        <is>
          <t>No.</t>
        </is>
      </c>
      <c r="C12" s="4" t="inlineStr">
        <is>
          <t>NOMBRE</t>
        </is>
      </c>
      <c r="D12" s="4" t="inlineStr">
        <is>
          <t>DEPARTAMENTO</t>
        </is>
      </c>
      <c r="E12" s="4" t="inlineStr">
        <is>
          <t>MUNICIPIO</t>
        </is>
      </c>
      <c r="F12" s="4" t="inlineStr">
        <is>
          <t>DIRECCION</t>
        </is>
      </c>
      <c r="I12" t="inlineStr">
        <is>
          <t>LATITUD</t>
        </is>
      </c>
      <c r="J12" t="inlineStr">
        <is>
          <t>LONGITUD</t>
        </is>
      </c>
      <c r="K12" t="inlineStr">
        <is>
          <t>FUENTE_UBICACION</t>
        </is>
      </c>
      <c r="L12" t="inlineStr">
        <is>
          <t>FECHA_UBICACION</t>
        </is>
      </c>
      <c r="M12" t="inlineStr">
        <is>
          <t>NOMBRE_UBICACION</t>
        </is>
      </c>
    </row>
    <row r="13" ht="16.5" customHeight="1">
      <c r="A13" s="5" t="n"/>
      <c r="B13" s="5" t="n">
        <v>1</v>
      </c>
      <c r="C13" s="2" t="inlineStr">
        <is>
          <t>AEROPUERTO</t>
        </is>
      </c>
      <c r="D13" s="2" t="inlineStr">
        <is>
          <t>GUATEMALA</t>
        </is>
      </c>
      <c r="E13" s="2" t="inlineStr">
        <is>
          <t>GUATEMALA</t>
        </is>
      </c>
      <c r="F13" s="2" t="inlineStr">
        <is>
          <t>BOULEVERD LIBERACIÓN 3-41 ZONA 9</t>
        </is>
      </c>
      <c r="G13" s="1">
        <f>TRIM(C13)</f>
        <v/>
      </c>
      <c r="H13" s="1">
        <f>VLOOKUP(C13,[1]Sheet1!$A$1:$D$188,2,FALSE)</f>
        <v/>
      </c>
      <c r="I13" t="n">
        <v>14.598852</v>
      </c>
      <c r="J13" t="n">
        <v>-90.524028</v>
      </c>
      <c r="K13" t="inlineStr">
        <is>
          <t>https://find.shell.com/gt/fuel/10128321-ss-aeropuerto/es_GT</t>
        </is>
      </c>
      <c r="L13" t="inlineStr">
        <is>
          <t>2026-10-05</t>
        </is>
      </c>
      <c r="M13" t="inlineStr">
        <is>
          <t xml:space="preserve">SS AEROPUERTO </t>
        </is>
      </c>
    </row>
    <row r="14" ht="16.5" customHeight="1">
      <c r="A14" s="5" t="n"/>
      <c r="B14" s="5" t="n">
        <v>2</v>
      </c>
      <c r="C14" s="2" t="inlineStr">
        <is>
          <t>AGUA CALIENTE</t>
        </is>
      </c>
      <c r="D14" s="2" t="inlineStr">
        <is>
          <t>EL PROGRESO</t>
        </is>
      </c>
      <c r="E14" s="2" t="inlineStr">
        <is>
          <t>SAN ANTONIO LA PAZ</t>
        </is>
      </c>
      <c r="F14" s="2" t="inlineStr">
        <is>
          <t>KILOMETRO 31, RUTA AL ATLANTICO, PALENCIA, GUATEMALA</t>
        </is>
      </c>
      <c r="G14" s="1">
        <f>TRIM(C14)</f>
        <v/>
      </c>
      <c r="H14" s="1">
        <f>VLOOKUP(C14,[1]Sheet1!$A$1:$D$188,2,FALSE)</f>
        <v/>
      </c>
    </row>
    <row r="15" ht="16.5" customHeight="1">
      <c r="A15" s="5" t="n"/>
      <c r="B15" s="5" t="n">
        <v>3</v>
      </c>
      <c r="C15" s="3" t="inlineStr">
        <is>
          <t>AGUILAR BATRES</t>
        </is>
      </c>
      <c r="D15" s="2" t="inlineStr">
        <is>
          <t>GUATEMALA</t>
        </is>
      </c>
      <c r="E15" s="2" t="inlineStr">
        <is>
          <t>GUATEMALA</t>
        </is>
      </c>
      <c r="F15" s="2" t="inlineStr">
        <is>
          <t>CALZADA RAUL AGUILAR BATRES 22-25 Y 22-55 ZONA 12</t>
        </is>
      </c>
      <c r="G15" s="1">
        <f>TRIM(C15)</f>
        <v/>
      </c>
      <c r="H15" s="1">
        <f>VLOOKUP(C15,[1]Sheet1!$A$1:$D$188,2,FALSE)</f>
        <v/>
      </c>
      <c r="I15" t="n">
        <v>14.599978</v>
      </c>
      <c r="J15" t="n">
        <v>-90.55041199999999</v>
      </c>
      <c r="K15" t="inlineStr">
        <is>
          <t>https://find.shell.com/gt/fuel/10128504-ss-aguilar-batres/es_GT</t>
        </is>
      </c>
      <c r="L15" t="inlineStr">
        <is>
          <t>2026-10-05</t>
        </is>
      </c>
      <c r="M15" t="inlineStr">
        <is>
          <t>SS AGUILAR BATRES</t>
        </is>
      </c>
    </row>
    <row r="16" ht="16.5" customHeight="1">
      <c r="A16" s="5" t="n"/>
      <c r="B16" s="5" t="n">
        <v>4</v>
      </c>
      <c r="C16" s="3" t="inlineStr">
        <is>
          <t>ALDANA</t>
        </is>
      </c>
      <c r="D16" s="2" t="inlineStr">
        <is>
          <t>GUATEMALA</t>
        </is>
      </c>
      <c r="E16" s="2" t="inlineStr">
        <is>
          <t>GUATEMALA</t>
        </is>
      </c>
      <c r="F16" s="2" t="inlineStr">
        <is>
          <t>CALZADA ROOSEVELT 38-91 ZONA 11</t>
        </is>
      </c>
      <c r="G16" s="1">
        <f>TRIM(C16)</f>
        <v/>
      </c>
      <c r="H16" s="1">
        <f>VLOOKUP(C16,[1]Sheet1!$A$1:$D$188,2,FALSE)</f>
        <v/>
      </c>
      <c r="I16" t="n">
        <v>14.632447</v>
      </c>
      <c r="J16" t="n">
        <v>-90.57016900000001</v>
      </c>
      <c r="K16" t="inlineStr">
        <is>
          <t>https://find.shell.com/gt/fuel/10128357-ss-aldana-villeda/es_GT</t>
        </is>
      </c>
      <c r="L16" t="inlineStr">
        <is>
          <t>2026-10-05</t>
        </is>
      </c>
      <c r="M16" t="inlineStr">
        <is>
          <t>SS ALDANA VILLEDA</t>
        </is>
      </c>
    </row>
    <row r="17" ht="16.5" customHeight="1">
      <c r="A17" s="5" t="n"/>
      <c r="B17" s="5" t="n">
        <v>5</v>
      </c>
      <c r="C17" s="3" t="inlineStr">
        <is>
          <t>ARCO PLAZA</t>
        </is>
      </c>
      <c r="D17" s="2" t="inlineStr">
        <is>
          <t>QUETZALTENANGO</t>
        </is>
      </c>
      <c r="E17" s="2" t="inlineStr">
        <is>
          <t>QUETZALTENANGO</t>
        </is>
      </c>
      <c r="F17" s="2" t="inlineStr">
        <is>
          <t>29 AVENIDA 1-89 ZONA 7 QUETZALTENANGO</t>
        </is>
      </c>
      <c r="G17" s="1">
        <f>TRIM(C17)</f>
        <v/>
      </c>
      <c r="H17" s="1">
        <f>VLOOKUP(C17,[1]Sheet1!$A$1:$D$188,2,FALSE)</f>
        <v/>
      </c>
      <c r="I17" t="n">
        <v>14.853747</v>
      </c>
      <c r="J17" t="n">
        <v>-91.522237</v>
      </c>
      <c r="K17" t="inlineStr">
        <is>
          <t>https://find.shell.com/gt/fuel/10131251-ss-arcoplaza/es_GT</t>
        </is>
      </c>
      <c r="L17" t="inlineStr">
        <is>
          <t>2026-10-05</t>
        </is>
      </c>
      <c r="M17" t="inlineStr">
        <is>
          <t>SS ARCOPLAZA</t>
        </is>
      </c>
    </row>
    <row r="18" ht="16.5" customHeight="1">
      <c r="A18" s="9" t="inlineStr">
        <is>
          <t xml:space="preserve">T, pesado </t>
        </is>
      </c>
      <c r="B18" s="5" t="n">
        <v>6</v>
      </c>
      <c r="C18" s="3" t="inlineStr">
        <is>
          <t>ASIOLE</t>
        </is>
      </c>
      <c r="D18" s="2" t="inlineStr">
        <is>
          <t>GUATEMALA</t>
        </is>
      </c>
      <c r="E18" s="2" t="inlineStr">
        <is>
          <t>AMATITLAN</t>
        </is>
      </c>
      <c r="F18" s="2" t="inlineStr">
        <is>
          <t>KM. 26 RUTAL AL PACIFICO, AMATITLAN</t>
        </is>
      </c>
      <c r="G18" s="1">
        <f>TRIM(C18)</f>
        <v/>
      </c>
      <c r="H18" s="1">
        <f>VLOOKUP(C18,[1]Sheet1!$A$1:$D$188,2,FALSE)</f>
        <v/>
      </c>
      <c r="I18" t="n">
        <v>14.489068</v>
      </c>
      <c r="J18" t="n">
        <v>-90.6247</v>
      </c>
      <c r="K18" t="inlineStr">
        <is>
          <t>https://find.shell.com/gt/fuel/10128243-ss-asiole/es_GT</t>
        </is>
      </c>
      <c r="L18" t="inlineStr">
        <is>
          <t>2026-10-05</t>
        </is>
      </c>
      <c r="M18" t="inlineStr">
        <is>
          <t>SS ASIOLE</t>
        </is>
      </c>
    </row>
    <row r="19" ht="16.5" customHeight="1">
      <c r="A19" s="5" t="n"/>
      <c r="B19" s="5" t="n">
        <v>7</v>
      </c>
      <c r="C19" s="3" t="inlineStr">
        <is>
          <t>ATANASIO TZUL</t>
        </is>
      </c>
      <c r="D19" s="2" t="inlineStr">
        <is>
          <t>GUATEMALA</t>
        </is>
      </c>
      <c r="E19" s="2" t="inlineStr">
        <is>
          <t>GUATEMALA</t>
        </is>
      </c>
      <c r="F19" s="2" t="inlineStr">
        <is>
          <t>24 AVENIDA 35-81 ZONA 12</t>
        </is>
      </c>
      <c r="G19" s="1">
        <f>TRIM(C19)</f>
        <v/>
      </c>
      <c r="H19" s="1">
        <f>VLOOKUP(C19,[1]Sheet1!$A$1:$D$188,2,FALSE)</f>
        <v/>
      </c>
      <c r="I19" t="n">
        <v>14.583336</v>
      </c>
      <c r="J19" t="n">
        <v>-90.542621</v>
      </c>
      <c r="K19" t="inlineStr">
        <is>
          <t>https://find.shell.com/gt/fuel/10128413-ss-atanasio-tzul/es_GT</t>
        </is>
      </c>
      <c r="L19" t="inlineStr">
        <is>
          <t>2026-10-05</t>
        </is>
      </c>
      <c r="M19" t="inlineStr">
        <is>
          <t>SS ATANASIO TZUL</t>
        </is>
      </c>
    </row>
    <row r="20" ht="16.5" customHeight="1">
      <c r="A20" s="5" t="n"/>
      <c r="B20" s="5" t="n">
        <v>8</v>
      </c>
      <c r="C20" s="3" t="inlineStr">
        <is>
          <t>BELLA AURORA</t>
        </is>
      </c>
      <c r="D20" s="2" t="inlineStr">
        <is>
          <t>GUATEMALA</t>
        </is>
      </c>
      <c r="E20" s="2" t="inlineStr">
        <is>
          <t>GUATEMALA</t>
        </is>
      </c>
      <c r="F20" s="2" t="inlineStr">
        <is>
          <t>AVENIDA LAS AMERICAS 10-01 ZONA 14</t>
        </is>
      </c>
      <c r="G20" s="1">
        <f>TRIM(C20)</f>
        <v/>
      </c>
      <c r="H20" s="1">
        <f>VLOOKUP(C20,[1]Sheet1!$A$1:$D$188,2,FALSE)</f>
        <v/>
      </c>
      <c r="I20" t="n">
        <v>14.585682</v>
      </c>
      <c r="J20" t="n">
        <v>-90.52042299999999</v>
      </c>
      <c r="K20" t="inlineStr">
        <is>
          <t>https://find.shell.com/gt/fuel/10128264-ss-bella-aurora/es_GT</t>
        </is>
      </c>
      <c r="L20" t="inlineStr">
        <is>
          <t>2026-10-05</t>
        </is>
      </c>
      <c r="M20" t="inlineStr">
        <is>
          <t>SS BELLA AURORA</t>
        </is>
      </c>
    </row>
    <row r="21" ht="16.5" customHeight="1">
      <c r="A21" s="9" t="inlineStr">
        <is>
          <t xml:space="preserve">T, pesado </t>
        </is>
      </c>
      <c r="B21" s="5" t="n">
        <v>9</v>
      </c>
      <c r="C21" s="3" t="inlineStr">
        <is>
          <t>BETHANIA</t>
        </is>
      </c>
      <c r="D21" s="2" t="inlineStr">
        <is>
          <t>GUATEMALA</t>
        </is>
      </c>
      <c r="E21" s="2" t="inlineStr">
        <is>
          <t>GUATEMALA</t>
        </is>
      </c>
      <c r="F21" s="2" t="inlineStr">
        <is>
          <t>ANILLO PERIFIERICO DIAGONAL  22 27-50 ZONA 7</t>
        </is>
      </c>
      <c r="G21" s="1">
        <f>TRIM(C21)</f>
        <v/>
      </c>
      <c r="H21" s="1">
        <f>VLOOKUP(C21,[1]Sheet1!$A$1:$D$188,2,FALSE)</f>
        <v/>
      </c>
      <c r="I21" t="n">
        <v>14.646577</v>
      </c>
      <c r="J21" t="n">
        <v>-90.53222599999999</v>
      </c>
      <c r="K21" t="inlineStr">
        <is>
          <t>https://find.shell.com/gt/fuel/10128367-ss-bethania/es_GT</t>
        </is>
      </c>
      <c r="L21" t="inlineStr">
        <is>
          <t>2026-10-05</t>
        </is>
      </c>
      <c r="M21" t="inlineStr">
        <is>
          <t>SS BETHANIA</t>
        </is>
      </c>
    </row>
    <row r="22" ht="16.5" customHeight="1">
      <c r="A22" s="5" t="n"/>
      <c r="B22" s="5" t="n">
        <v>10</v>
      </c>
      <c r="C22" s="3" t="inlineStr">
        <is>
          <t>CARLOS V</t>
        </is>
      </c>
      <c r="D22" s="2" t="inlineStr">
        <is>
          <t>ALTA VERAPAZ</t>
        </is>
      </c>
      <c r="E22" s="2" t="inlineStr">
        <is>
          <t>COBAN</t>
        </is>
      </c>
      <c r="F22" s="2" t="inlineStr">
        <is>
          <t>11 AVENIDA 5-95 ZONA 6 COBÁN, ALTA VERAPAZ</t>
        </is>
      </c>
      <c r="G22" s="1">
        <f>TRIM(C22)</f>
        <v/>
      </c>
      <c r="H22" s="1">
        <f>VLOOKUP(C22,[1]Sheet1!$A$1:$D$188,2,FALSE)</f>
        <v/>
      </c>
      <c r="I22" t="n">
        <v>15.460673</v>
      </c>
      <c r="J22" t="n">
        <v>-90.382881</v>
      </c>
      <c r="K22" t="inlineStr">
        <is>
          <t>https://find.shell.com/gt/fuel/10128530-ss-carlos-v/es_GT</t>
        </is>
      </c>
      <c r="L22" t="inlineStr">
        <is>
          <t>2026-10-05</t>
        </is>
      </c>
      <c r="M22" t="inlineStr">
        <is>
          <t>SS CARLOS V</t>
        </is>
      </c>
    </row>
    <row r="23" ht="16.5" customHeight="1">
      <c r="A23" s="5" t="n"/>
      <c r="B23" s="5" t="n">
        <v>11</v>
      </c>
      <c r="C23" s="3" t="inlineStr">
        <is>
          <t>CAYALA</t>
        </is>
      </c>
      <c r="D23" s="2" t="inlineStr">
        <is>
          <t>GUATEMALA</t>
        </is>
      </c>
      <c r="E23" s="2" t="inlineStr">
        <is>
          <t>GUATEMALA</t>
        </is>
      </c>
      <c r="F23" s="2" t="inlineStr">
        <is>
          <t>BOULEVARD RAFAEL LANDÍVAR ENTRADA A COLONIA LOMAS DE VISTA HERMOSA ZONA 16</t>
        </is>
      </c>
      <c r="G23" s="1">
        <f>TRIM(C23)</f>
        <v/>
      </c>
      <c r="H23" s="1">
        <f>VLOOKUP(C23,[1]Sheet1!$A$1:$D$188,2,FALSE)</f>
        <v/>
      </c>
      <c r="I23" t="n">
        <v>14.601805</v>
      </c>
      <c r="J23" t="n">
        <v>-90.48346600000001</v>
      </c>
      <c r="K23" t="inlineStr">
        <is>
          <t>https://find.shell.com/gt/fuel/10128404-ss-cayala/es_GT</t>
        </is>
      </c>
      <c r="L23" t="inlineStr">
        <is>
          <t>2026-10-05</t>
        </is>
      </c>
      <c r="M23" t="inlineStr">
        <is>
          <t>SS CAYALA</t>
        </is>
      </c>
    </row>
    <row r="24" ht="16.5" customHeight="1">
      <c r="A24" s="5" t="n"/>
      <c r="B24" s="5" t="n">
        <v>12</v>
      </c>
      <c r="C24" s="3" t="inlineStr">
        <is>
          <t>CENTRO MALACATÁN</t>
        </is>
      </c>
      <c r="D24" s="3" t="inlineStr">
        <is>
          <t>SAN MARCOS</t>
        </is>
      </c>
      <c r="E24" s="3" t="inlineStr">
        <is>
          <t xml:space="preserve">MALACATÁN </t>
        </is>
      </c>
      <c r="F24" s="3" t="inlineStr">
        <is>
          <t>5A CALLE 2-29 ZONA 1, MALACATÁN, SAN MARCOS</t>
        </is>
      </c>
      <c r="G24" s="1">
        <f>TRIM(C24)</f>
        <v/>
      </c>
      <c r="H24" s="1">
        <f>VLOOKUP(C24,[1]Sheet1!$A$1:$D$188,2,FALSE)</f>
        <v/>
      </c>
    </row>
    <row r="25" ht="16.5" customHeight="1">
      <c r="A25" s="5" t="n"/>
      <c r="B25" s="5" t="n">
        <v>13</v>
      </c>
      <c r="C25" s="3" t="inlineStr">
        <is>
          <t>CIUDAD SAN CRISTÓBAL</t>
        </is>
      </c>
      <c r="D25" s="2" t="inlineStr">
        <is>
          <t>GUATEMALA</t>
        </is>
      </c>
      <c r="E25" s="2" t="inlineStr">
        <is>
          <t>MIXCO</t>
        </is>
      </c>
      <c r="F25" s="2" t="inlineStr">
        <is>
          <t>3RA. CALLE 14-65 MANZANA N, SECTOR B12, SAN CRISTOBAL ZONA 8 MIXCO</t>
        </is>
      </c>
      <c r="G25" s="1">
        <f>TRIM(C25)</f>
        <v/>
      </c>
      <c r="H25" s="1">
        <f>VLOOKUP(C25,[1]Sheet1!$A$1:$D$188,2,FALSE)</f>
        <v/>
      </c>
      <c r="I25" t="n">
        <v>14.599546</v>
      </c>
      <c r="J25" t="n">
        <v>-90.57911799999999</v>
      </c>
      <c r="K25" t="inlineStr">
        <is>
          <t>https://find.shell.com/gt/fuel/10128336-ss-ciudad-san-cristobal/es_GT</t>
        </is>
      </c>
      <c r="L25" t="inlineStr">
        <is>
          <t>2026-10-05</t>
        </is>
      </c>
      <c r="M25" t="inlineStr">
        <is>
          <t>SS CIUDAD SAN CRISTOBAL</t>
        </is>
      </c>
    </row>
    <row r="26" ht="16.5" customHeight="1">
      <c r="A26" s="5" t="n"/>
      <c r="B26" s="5" t="n">
        <v>14</v>
      </c>
      <c r="C26" s="3" t="inlineStr">
        <is>
          <t>CONDADO CONCEPCIÓN</t>
        </is>
      </c>
      <c r="D26" s="2" t="inlineStr">
        <is>
          <t>GUATEMALA</t>
        </is>
      </c>
      <c r="E26" s="2" t="inlineStr">
        <is>
          <t>SANTA CATARINA PINULA</t>
        </is>
      </c>
      <c r="F26" s="2" t="inlineStr">
        <is>
          <t>KM 15.8 CARRETERA A EL SALVADOR, SANTA CATARINA PINULA</t>
        </is>
      </c>
      <c r="G26" s="1">
        <f>TRIM(C26)</f>
        <v/>
      </c>
      <c r="H26" s="1">
        <f>VLOOKUP(C26,[1]Sheet1!$A$1:$D$188,2,FALSE)</f>
        <v/>
      </c>
      <c r="I26" t="n">
        <v>14.549315</v>
      </c>
      <c r="J26" t="n">
        <v>-90.454488</v>
      </c>
      <c r="K26" t="inlineStr">
        <is>
          <t>https://find.shell.com/gt/fuel/10128411-ss-condado-concepcion/es_GT</t>
        </is>
      </c>
      <c r="L26" t="inlineStr">
        <is>
          <t>2026-10-05</t>
        </is>
      </c>
      <c r="M26" t="inlineStr">
        <is>
          <t xml:space="preserve">SS CONDADO CONCEPCION </t>
        </is>
      </c>
    </row>
    <row r="27" ht="16.5" customHeight="1">
      <c r="A27" s="5" t="n"/>
      <c r="B27" s="5" t="n">
        <v>15</v>
      </c>
      <c r="C27" s="3" t="inlineStr">
        <is>
          <t>CUATRO CAMINOS</t>
        </is>
      </c>
      <c r="D27" s="2" t="inlineStr">
        <is>
          <t>TOTONICAPÁN</t>
        </is>
      </c>
      <c r="E27" s="2" t="inlineStr">
        <is>
          <t>SAN CRISTOBAL TOTONICAPÁN</t>
        </is>
      </c>
      <c r="F27" s="2" t="inlineStr">
        <is>
          <t>CUATRO CAMINOS SAN CRISTOBAL TOTONICAPAN, TOTONICAPAN</t>
        </is>
      </c>
      <c r="G27" s="1">
        <f>TRIM(C27)</f>
        <v/>
      </c>
      <c r="H27" s="1">
        <f>VLOOKUP(C27,[1]Sheet1!$A$1:$D$188,2,FALSE)</f>
        <v/>
      </c>
      <c r="I27" t="n">
        <v>14.909065</v>
      </c>
      <c r="J27" t="n">
        <v>-91.44200499999999</v>
      </c>
      <c r="K27" t="inlineStr">
        <is>
          <t>https://find.shell.com/gt/fuel/10128271-ss-cuatro-caminos/es_GT</t>
        </is>
      </c>
      <c r="L27" t="inlineStr">
        <is>
          <t>2026-10-05</t>
        </is>
      </c>
      <c r="M27" t="inlineStr">
        <is>
          <t>SS CUATRO CAMINOS</t>
        </is>
      </c>
    </row>
    <row r="28" ht="16.5" customHeight="1">
      <c r="A28" s="5" t="n"/>
      <c r="B28" s="5" t="n">
        <v>16</v>
      </c>
      <c r="C28" s="3" t="inlineStr">
        <is>
          <t>CUESTA BLANCA</t>
        </is>
      </c>
      <c r="D28" s="2" t="inlineStr">
        <is>
          <t>QUETZALTENANGO</t>
        </is>
      </c>
      <c r="E28" s="2" t="inlineStr">
        <is>
          <t>QUETZALTENANGO</t>
        </is>
      </c>
      <c r="F28" s="3" t="inlineStr">
        <is>
          <t>7 AVENIDA 6-06 ZONA 2 QUETZALTENANGO</t>
        </is>
      </c>
      <c r="G28" s="1">
        <f>TRIM(C28)</f>
        <v/>
      </c>
      <c r="H28" s="1">
        <f>VLOOKUP(C28,[1]Sheet1!$A$1:$D$188,2,FALSE)</f>
        <v/>
      </c>
      <c r="I28" t="n">
        <v>14.909065</v>
      </c>
      <c r="J28" t="n">
        <v>-91.44200499999999</v>
      </c>
      <c r="K28" t="inlineStr">
        <is>
          <t>https://find.shell.com/gt/fuel/10128351-ss-cuesta-blanca/es_GT</t>
        </is>
      </c>
      <c r="L28" t="inlineStr">
        <is>
          <t>2026-10-05</t>
        </is>
      </c>
      <c r="M28" t="inlineStr">
        <is>
          <t>SS CUESTA BLANCA</t>
        </is>
      </c>
    </row>
    <row r="29" ht="16.5" customHeight="1">
      <c r="A29" s="9" t="inlineStr">
        <is>
          <t xml:space="preserve">T, pesado </t>
        </is>
      </c>
      <c r="B29" s="5" t="n">
        <v>17</v>
      </c>
      <c r="C29" s="3" t="inlineStr">
        <is>
          <t>CURSA</t>
        </is>
      </c>
      <c r="D29" s="2" t="inlineStr">
        <is>
          <t>GUATEMALA</t>
        </is>
      </c>
      <c r="E29" s="2" t="inlineStr">
        <is>
          <t>GUATEMALA</t>
        </is>
      </c>
      <c r="F29" s="2" t="inlineStr">
        <is>
          <t>2DA AVENIDA 6-00 ZONA 2</t>
        </is>
      </c>
      <c r="G29" s="1">
        <f>TRIM(C29)</f>
        <v/>
      </c>
      <c r="H29" s="1">
        <f>VLOOKUP(C29,[1]Sheet1!$A$1:$D$188,2,FALSE)</f>
        <v/>
      </c>
      <c r="I29" t="n">
        <v>14.652595</v>
      </c>
      <c r="J29" t="n">
        <v>-90.516437</v>
      </c>
      <c r="K29" t="inlineStr">
        <is>
          <t>https://find.shell.com/gt/fuel/10128402-ss-cursa-nuevo/es_GT</t>
        </is>
      </c>
      <c r="L29" t="inlineStr">
        <is>
          <t>2026-10-05</t>
        </is>
      </c>
      <c r="M29" t="inlineStr">
        <is>
          <t>SS CURSA/NUEVO</t>
        </is>
      </c>
    </row>
    <row r="30" ht="16.5" customHeight="1">
      <c r="A30" s="5" t="n"/>
      <c r="B30" s="5" t="n">
        <v>18</v>
      </c>
      <c r="C30" s="3" t="inlineStr">
        <is>
          <t>CUYOTENANGO</t>
        </is>
      </c>
      <c r="D30" s="2" t="inlineStr">
        <is>
          <t>SUCHITEPEQUEZ</t>
        </is>
      </c>
      <c r="E30" s="2" t="inlineStr">
        <is>
          <t>CUYOTENANGO</t>
        </is>
      </c>
      <c r="F30" s="2" t="inlineStr">
        <is>
          <t>KILOMETRO 169.5 CARRETERA A CUYOTENANGO</t>
        </is>
      </c>
      <c r="G30" s="1">
        <f>TRIM(C30)</f>
        <v/>
      </c>
      <c r="H30" s="1">
        <f>VLOOKUP(C30,[1]Sheet1!$A$1:$D$188,2,FALSE)</f>
        <v/>
      </c>
      <c r="I30" t="n">
        <v>14.541239</v>
      </c>
      <c r="J30" t="n">
        <v>-91.579196</v>
      </c>
      <c r="K30" t="inlineStr">
        <is>
          <t>https://find.shell.com/gt/fuel/10131292-ss-cuyotenango-ag-rba-fue/es_GT</t>
        </is>
      </c>
      <c r="L30" t="inlineStr">
        <is>
          <t>2026-10-05</t>
        </is>
      </c>
      <c r="M30" t="inlineStr">
        <is>
          <t>SS CUYOTENANGO - AG-RBA-FUE</t>
        </is>
      </c>
    </row>
    <row r="31" ht="16.5" customHeight="1">
      <c r="A31" s="5" t="n"/>
      <c r="B31" s="5" t="n">
        <v>19</v>
      </c>
      <c r="C31" s="3" t="inlineStr">
        <is>
          <t>EL FRUTAL I</t>
        </is>
      </c>
      <c r="D31" s="2" t="inlineStr">
        <is>
          <t>GUATEMALA</t>
        </is>
      </c>
      <c r="E31" s="2" t="inlineStr">
        <is>
          <t>VILLA NUEVA</t>
        </is>
      </c>
      <c r="F31" s="2" t="inlineStr">
        <is>
          <t>AREA COMERCIAL FRUTAL 2 VILLA NUEVA</t>
        </is>
      </c>
      <c r="G31" s="1">
        <f>TRIM(C31)</f>
        <v/>
      </c>
      <c r="H31" s="1">
        <f>VLOOKUP(C31,[1]Sheet1!$A$1:$D$188,2,FALSE)</f>
        <v/>
      </c>
      <c r="I31" t="n">
        <v>14.619858</v>
      </c>
      <c r="J31" t="n">
        <v>-90.51280800000001</v>
      </c>
      <c r="K31" t="inlineStr">
        <is>
          <t>https://find.shell.com/gt/fuel/10128379-ss-el-frutal/es_GT</t>
        </is>
      </c>
      <c r="L31" t="inlineStr">
        <is>
          <t>2026-10-05</t>
        </is>
      </c>
      <c r="M31" t="inlineStr">
        <is>
          <t>SS EL FRUTAL</t>
        </is>
      </c>
    </row>
    <row r="32" ht="16.5" customHeight="1">
      <c r="A32" s="5" t="n"/>
      <c r="B32" s="5" t="n">
        <v>20</v>
      </c>
      <c r="C32" s="3" t="inlineStr">
        <is>
          <t>MIRADOR PALO GORDO</t>
        </is>
      </c>
      <c r="D32" s="3" t="inlineStr">
        <is>
          <t>SAN MARCOS</t>
        </is>
      </c>
      <c r="E32" s="3" t="inlineStr">
        <is>
          <t>ESQUIPULAS PALO GORDO</t>
        </is>
      </c>
      <c r="F32" s="3" t="inlineStr">
        <is>
          <t>KILOMETRO 258.5 CARRETERA A LA ZONA COSTERA ESQUIPULAS PALO GORDO</t>
        </is>
      </c>
      <c r="G32" s="1">
        <f>TRIM(C32)</f>
        <v/>
      </c>
      <c r="H32" s="1">
        <f>VLOOKUP(C32,[1]Sheet1!$A$1:$D$188,2,FALSE)</f>
        <v/>
      </c>
    </row>
    <row r="33" ht="16.5" customHeight="1">
      <c r="A33" s="9" t="inlineStr">
        <is>
          <t xml:space="preserve">T, pesado </t>
        </is>
      </c>
      <c r="B33" s="5" t="n">
        <v>21</v>
      </c>
      <c r="C33" s="3" t="inlineStr">
        <is>
          <t>EL NARANJO</t>
        </is>
      </c>
      <c r="D33" s="2" t="inlineStr">
        <is>
          <t>GUATEMALA</t>
        </is>
      </c>
      <c r="E33" s="2" t="inlineStr">
        <is>
          <t>MIXCO</t>
        </is>
      </c>
      <c r="F33" s="2" t="inlineStr">
        <is>
          <t>GRAN VÍA SUR 30-00 ZONA 4 MIXCO</t>
        </is>
      </c>
      <c r="G33" s="1">
        <f>TRIM(C33)</f>
        <v/>
      </c>
      <c r="H33" s="1">
        <f>VLOOKUP(C33,[1]Sheet1!$A$1:$D$188,2,FALSE)</f>
        <v/>
      </c>
      <c r="I33" t="n">
        <v>14.65203</v>
      </c>
      <c r="J33" t="n">
        <v>-90.544265</v>
      </c>
      <c r="K33" t="inlineStr">
        <is>
          <t>https://find.shell.com/gt/fuel/10128344-ss-el-naranjo/es_GT</t>
        </is>
      </c>
      <c r="L33" t="inlineStr">
        <is>
          <t>2026-10-05</t>
        </is>
      </c>
      <c r="M33" t="inlineStr">
        <is>
          <t>SS EL NARANJO</t>
        </is>
      </c>
    </row>
    <row r="34" ht="16.5" customHeight="1">
      <c r="A34" s="9" t="inlineStr">
        <is>
          <t xml:space="preserve">T, pesado </t>
        </is>
      </c>
      <c r="B34" s="5" t="n">
        <v>22</v>
      </c>
      <c r="C34" s="3" t="inlineStr">
        <is>
          <t>EL RODEO</t>
        </is>
      </c>
      <c r="D34" s="2" t="inlineStr">
        <is>
          <t>GUATEMALA</t>
        </is>
      </c>
      <c r="E34" s="2" t="inlineStr">
        <is>
          <t>MIXCO</t>
        </is>
      </c>
      <c r="F34" s="2" t="inlineStr">
        <is>
          <t>CALZADA SAN JUAN 45-25 ZONA 7 MIXCO</t>
        </is>
      </c>
      <c r="G34" s="1">
        <f>TRIM(C34)</f>
        <v/>
      </c>
      <c r="H34" s="1">
        <f>VLOOKUP(C34,[1]Sheet1!$A$1:$D$188,2,FALSE)</f>
        <v/>
      </c>
      <c r="I34" t="n">
        <v>14.644051</v>
      </c>
      <c r="J34" t="n">
        <v>-90.574985</v>
      </c>
      <c r="K34" t="inlineStr">
        <is>
          <t>https://find.shell.com/gt/fuel/10128248-ss-el-rodeo/es_GT</t>
        </is>
      </c>
      <c r="L34" t="inlineStr">
        <is>
          <t>2026-10-05</t>
        </is>
      </c>
      <c r="M34" t="inlineStr">
        <is>
          <t>SS EL RODEO</t>
        </is>
      </c>
    </row>
    <row r="35" ht="16.5" customHeight="1">
      <c r="A35" s="5" t="n"/>
      <c r="B35" s="5" t="n">
        <v>23</v>
      </c>
      <c r="C35" s="3" t="inlineStr">
        <is>
          <t>EL TANQUE</t>
        </is>
      </c>
      <c r="D35" s="2" t="inlineStr">
        <is>
          <t>HUEHUETENANGO</t>
        </is>
      </c>
      <c r="E35" s="2" t="inlineStr">
        <is>
          <t>HUEHUETENANGO</t>
        </is>
      </c>
      <c r="F35" s="2" t="inlineStr">
        <is>
          <t>2DA. CALLE 8-80 ZONA 1 HUEHUETENANGO</t>
        </is>
      </c>
      <c r="G35" s="1">
        <f>TRIM(C35)</f>
        <v/>
      </c>
      <c r="H35" s="1">
        <f>VLOOKUP(C35,[1]Sheet1!$A$1:$D$188,2,FALSE)</f>
        <v/>
      </c>
      <c r="I35" t="n">
        <v>15.319853</v>
      </c>
      <c r="J35" t="n">
        <v>-91.474632</v>
      </c>
      <c r="K35" t="inlineStr">
        <is>
          <t>https://find.shell.com/gt/fuel/10128348-ss-el-tanque/es_GT</t>
        </is>
      </c>
      <c r="L35" t="inlineStr">
        <is>
          <t>2026-10-05</t>
        </is>
      </c>
      <c r="M35" t="inlineStr">
        <is>
          <t>SS EL TANQUE</t>
        </is>
      </c>
    </row>
    <row r="36" ht="16.5" customHeight="1">
      <c r="A36" s="5" t="n"/>
      <c r="B36" s="5" t="n">
        <v>24</v>
      </c>
      <c r="C36" s="3" t="inlineStr">
        <is>
          <t>ESCUINTLA</t>
        </is>
      </c>
      <c r="D36" s="2" t="inlineStr">
        <is>
          <t>ESCUINTLA</t>
        </is>
      </c>
      <c r="E36" s="2" t="inlineStr">
        <is>
          <t>ESCUINTLA</t>
        </is>
      </c>
      <c r="F36" s="2" t="inlineStr">
        <is>
          <t>1A. CALLE Y 4 AVENIDA ZONA 1, ESCUINTLA</t>
        </is>
      </c>
      <c r="G36" s="1">
        <f>TRIM(C36)</f>
        <v/>
      </c>
      <c r="H36" s="1">
        <f>VLOOKUP(C36,[1]Sheet1!$A$1:$D$188,2,FALSE)</f>
        <v/>
      </c>
      <c r="I36" t="n">
        <v>14.307186</v>
      </c>
      <c r="J36" t="n">
        <v>-90.784175</v>
      </c>
      <c r="K36" t="inlineStr">
        <is>
          <t>https://find.shell.com/gt/fuel/10128331-ss-escuintla/es_GT</t>
        </is>
      </c>
      <c r="L36" t="inlineStr">
        <is>
          <t>2026-10-05</t>
        </is>
      </c>
      <c r="M36" t="inlineStr">
        <is>
          <t>SS ESCUINTLA</t>
        </is>
      </c>
    </row>
    <row r="37" ht="16.5" customHeight="1">
      <c r="A37" s="5" t="n"/>
      <c r="B37" s="5" t="n">
        <v>25</v>
      </c>
      <c r="C37" s="3" t="inlineStr">
        <is>
          <t>JOCOTENANGO</t>
        </is>
      </c>
      <c r="D37" s="2" t="inlineStr">
        <is>
          <t>SACATEPEQUEZ</t>
        </is>
      </c>
      <c r="E37" s="2" t="inlineStr">
        <is>
          <t xml:space="preserve">PASTORES </t>
        </is>
      </c>
      <c r="F37" s="2" t="inlineStr">
        <is>
          <t>CALLE REAL DE PASTORES, KM 67.6 FINCA SANTA BARBARA</t>
        </is>
      </c>
      <c r="G37" s="1">
        <f>TRIM(C37)</f>
        <v/>
      </c>
      <c r="H37" s="1">
        <f>VLOOKUP(C37,[1]Sheet1!$A$1:$D$188,2,FALSE)</f>
        <v/>
      </c>
      <c r="I37" t="n">
        <v>14.590859</v>
      </c>
      <c r="J37" t="n">
        <v>-90.75019899999999</v>
      </c>
      <c r="K37" t="inlineStr">
        <is>
          <t>https://find.shell.com/gt/fuel/10128442-ss-jocotenango/es_GT</t>
        </is>
      </c>
      <c r="L37" t="inlineStr">
        <is>
          <t>2026-10-05</t>
        </is>
      </c>
      <c r="M37" t="inlineStr">
        <is>
          <t>SS JOCOTENANGO</t>
        </is>
      </c>
    </row>
    <row r="38" ht="16.5" customHeight="1">
      <c r="A38" s="5" t="n"/>
      <c r="B38" s="5" t="n">
        <v>26</v>
      </c>
      <c r="C38" s="3" t="inlineStr">
        <is>
          <t>LA ESPERANZA XELA</t>
        </is>
      </c>
      <c r="D38" s="2" t="inlineStr">
        <is>
          <t>QUETZALTENANGO</t>
        </is>
      </c>
      <c r="E38" s="2" t="inlineStr">
        <is>
          <t>LA ESPERANZA</t>
        </is>
      </c>
      <c r="F38" s="2" t="inlineStr">
        <is>
          <t>KM. 207 CARRETERA INTERAMERICANA, LA ESPERANZA, QUETZALTENANGO</t>
        </is>
      </c>
      <c r="G38" s="1">
        <f>TRIM(C38)</f>
        <v/>
      </c>
      <c r="H38" s="1">
        <f>VLOOKUP(C38,[1]Sheet1!$A$1:$D$188,2,FALSE)</f>
        <v/>
      </c>
      <c r="I38" t="n">
        <v>14.866699</v>
      </c>
      <c r="J38" t="n">
        <v>-91.56818699999999</v>
      </c>
      <c r="K38" t="inlineStr">
        <is>
          <t>https://find.shell.com/gt/fuel/10128518-ss-la-esperanza-xela/es_GT</t>
        </is>
      </c>
      <c r="L38" t="inlineStr">
        <is>
          <t>2026-10-05</t>
        </is>
      </c>
      <c r="M38" t="inlineStr">
        <is>
          <t>SS LA ESPERANZA XELA</t>
        </is>
      </c>
    </row>
    <row r="39" ht="16.5" customHeight="1">
      <c r="A39" s="5" t="n"/>
      <c r="B39" s="5" t="n">
        <v>27</v>
      </c>
      <c r="C39" s="3" t="inlineStr">
        <is>
          <t>LA VILLA</t>
        </is>
      </c>
      <c r="D39" s="2" t="inlineStr">
        <is>
          <t>GUATEMALA</t>
        </is>
      </c>
      <c r="E39" s="2" t="inlineStr">
        <is>
          <t>GUATEMALA</t>
        </is>
      </c>
      <c r="F39" s="2" t="inlineStr">
        <is>
          <t>13 AVENIDA 20-01 ZONA 10</t>
        </is>
      </c>
      <c r="G39" s="1">
        <f>TRIM(C39)</f>
        <v/>
      </c>
      <c r="H39" s="1">
        <f>VLOOKUP(C39,[1]Sheet1!$A$1:$D$188,2,FALSE)</f>
        <v/>
      </c>
      <c r="I39" t="n">
        <v>14.588659</v>
      </c>
      <c r="J39" t="n">
        <v>-90.507349</v>
      </c>
      <c r="K39" t="inlineStr">
        <is>
          <t>https://find.shell.com/gt/fuel/10128363-ss-la-villa/es_GT</t>
        </is>
      </c>
      <c r="L39" t="inlineStr">
        <is>
          <t>2026-10-05</t>
        </is>
      </c>
      <c r="M39" t="inlineStr">
        <is>
          <t>SS LA VILLA</t>
        </is>
      </c>
    </row>
    <row r="40" ht="16.5" customHeight="1">
      <c r="A40" s="5" t="n"/>
      <c r="B40" s="5" t="n">
        <v>28</v>
      </c>
      <c r="C40" s="3" t="inlineStr">
        <is>
          <t>LAS AMERICAS/BARRIOS</t>
        </is>
      </c>
      <c r="D40" s="2" t="inlineStr">
        <is>
          <t>IZABAL</t>
        </is>
      </c>
      <c r="E40" s="2" t="inlineStr">
        <is>
          <t>PUERTO BARRIOS</t>
        </is>
      </c>
      <c r="F40" s="3" t="inlineStr">
        <is>
          <t>KM. 291 RUTA AL ATLÁNTICO, PUERTO BARRIOS, IZABAL</t>
        </is>
      </c>
      <c r="G40" s="1">
        <f>TRIM(C40)</f>
        <v/>
      </c>
      <c r="H40" s="1">
        <f>VLOOKUP(C40,[1]Sheet1!$A$1:$D$188,2,FALSE)</f>
        <v/>
      </c>
    </row>
    <row r="41" ht="16.5" customHeight="1">
      <c r="A41" s="5" t="n"/>
      <c r="B41" s="5" t="n">
        <v>29</v>
      </c>
      <c r="C41" s="3" t="inlineStr">
        <is>
          <t>LAS AMERICAS/QUEZALTENANGO</t>
        </is>
      </c>
      <c r="D41" s="2" t="inlineStr">
        <is>
          <t>QUETZALTENANGO</t>
        </is>
      </c>
      <c r="E41" s="2" t="inlineStr">
        <is>
          <t>QUETZALTENANGO</t>
        </is>
      </c>
      <c r="F41" s="2" t="inlineStr">
        <is>
          <t>AVE. LAS AMÉRICAS 'D' 2-13, ZONA 3 QUETZALTENANGO</t>
        </is>
      </c>
      <c r="G41" s="1">
        <f>TRIM(C41)</f>
        <v/>
      </c>
      <c r="H41" s="1">
        <f>VLOOKUP(C41,[1]Sheet1!$A$1:$D$188,2,FALSE)</f>
        <v/>
      </c>
      <c r="I41" t="n">
        <v>14.854681</v>
      </c>
      <c r="J41" t="n">
        <v>-91.536573</v>
      </c>
      <c r="K41" t="inlineStr">
        <is>
          <t>https://find.shell.com/gt/fuel/10128249-ss-las-americas-xela/es_GT</t>
        </is>
      </c>
      <c r="L41" t="inlineStr">
        <is>
          <t>2026-10-05</t>
        </is>
      </c>
      <c r="M41" t="inlineStr">
        <is>
          <t>SS LAS AMERICAS XELA</t>
        </is>
      </c>
    </row>
    <row r="42" ht="16.5" customHeight="1">
      <c r="A42" s="5" t="n"/>
      <c r="B42" s="5" t="n">
        <v>30</v>
      </c>
      <c r="C42" s="3" t="inlineStr">
        <is>
          <t>LAS CONCHAS</t>
        </is>
      </c>
      <c r="D42" s="2" t="inlineStr">
        <is>
          <t>GUATEMALA</t>
        </is>
      </c>
      <c r="E42" s="2" t="inlineStr">
        <is>
          <t>GUATEMALA</t>
        </is>
      </c>
      <c r="F42" s="2" t="inlineStr">
        <is>
          <t>8A. AVENIDA 18-56 ZONA 10</t>
        </is>
      </c>
      <c r="G42" s="1">
        <f>TRIM(C42)</f>
        <v/>
      </c>
      <c r="H42" s="1">
        <f>VLOOKUP(C42,[1]Sheet1!$A$1:$D$188,2,FALSE)</f>
        <v/>
      </c>
      <c r="I42" t="n">
        <v>14.591695</v>
      </c>
      <c r="J42" t="n">
        <v>-90.511363</v>
      </c>
      <c r="K42" t="inlineStr">
        <is>
          <t>https://find.shell.com/gt/fuel/10128418-ss-las-conchas/es_GT</t>
        </is>
      </c>
      <c r="L42" t="inlineStr">
        <is>
          <t>2026-10-05</t>
        </is>
      </c>
      <c r="M42" t="inlineStr">
        <is>
          <t>SS LAS CONCHAS</t>
        </is>
      </c>
    </row>
    <row r="43" ht="16.5" customHeight="1">
      <c r="A43" s="5" t="n"/>
      <c r="B43" s="5" t="n">
        <v>31</v>
      </c>
      <c r="C43" s="3" t="inlineStr">
        <is>
          <t>LAS ROSAS XELA</t>
        </is>
      </c>
      <c r="D43" s="2" t="inlineStr">
        <is>
          <t>QUETZALTENANGO</t>
        </is>
      </c>
      <c r="E43" s="2" t="inlineStr">
        <is>
          <t>QUETZALTENANGO</t>
        </is>
      </c>
      <c r="F43" s="2" t="inlineStr">
        <is>
          <t>7MA. AVENIDA 15-34 ZONA 5 QUETZALTENANGO</t>
        </is>
      </c>
      <c r="G43" s="1">
        <f>TRIM(C43)</f>
        <v/>
      </c>
      <c r="H43" s="1">
        <f>VLOOKUP(C43,[1]Sheet1!$A$1:$D$188,2,FALSE)</f>
        <v/>
      </c>
      <c r="I43" t="n">
        <v>14.840949</v>
      </c>
      <c r="J43" t="n">
        <v>-91.496078</v>
      </c>
      <c r="K43" t="inlineStr">
        <is>
          <t>https://find.shell.com/gt/fuel/10128507-ss-las-rosas-xela/es_GT</t>
        </is>
      </c>
      <c r="L43" t="inlineStr">
        <is>
          <t>2026-10-05</t>
        </is>
      </c>
      <c r="M43" t="inlineStr">
        <is>
          <t>SS LAS ROSAS XELA</t>
        </is>
      </c>
    </row>
    <row r="44" ht="16.5" customHeight="1">
      <c r="A44" s="5" t="n"/>
      <c r="B44" s="5" t="n">
        <v>32</v>
      </c>
      <c r="C44" s="3" t="inlineStr">
        <is>
          <t>LAS VEGAS</t>
        </is>
      </c>
      <c r="D44" s="2" t="inlineStr">
        <is>
          <t>HUEHUETENANGO</t>
        </is>
      </c>
      <c r="E44" s="2" t="inlineStr">
        <is>
          <t>HUEHUETENANGO</t>
        </is>
      </c>
      <c r="F44" s="2" t="inlineStr">
        <is>
          <t>CARRETERA INTERAMERICANA ALDEA TOCOJAZ, HUEHUETENANGO</t>
        </is>
      </c>
      <c r="G44" s="1">
        <f>TRIM(C44)</f>
        <v/>
      </c>
      <c r="H44" s="1">
        <f>VLOOKUP(C44,[1]Sheet1!$A$1:$D$188,2,FALSE)</f>
        <v/>
      </c>
      <c r="I44" t="n">
        <v>15.295342</v>
      </c>
      <c r="J44" t="n">
        <v>-91.491041</v>
      </c>
      <c r="K44" t="inlineStr">
        <is>
          <t>https://find.shell.com/gt/fuel/10128441-ss-las-vegas/es_GT</t>
        </is>
      </c>
      <c r="L44" t="inlineStr">
        <is>
          <t>2026-10-05</t>
        </is>
      </c>
      <c r="M44" t="inlineStr">
        <is>
          <t xml:space="preserve">SS LAS VEGAS </t>
        </is>
      </c>
    </row>
    <row r="45" ht="16.5" customHeight="1">
      <c r="A45" s="5" t="n"/>
      <c r="B45" s="5" t="n">
        <v>33</v>
      </c>
      <c r="C45" s="3" t="inlineStr">
        <is>
          <t>LINDA VISTA</t>
        </is>
      </c>
      <c r="D45" s="2" t="inlineStr">
        <is>
          <t>GUATEMALA</t>
        </is>
      </c>
      <c r="E45" s="2" t="inlineStr">
        <is>
          <t>VILLA NUEVA</t>
        </is>
      </c>
      <c r="F45" s="2" t="inlineStr">
        <is>
          <t>KM 19.8 RUTA CA-9 VISTA LINDA, VILLA NUEVA</t>
        </is>
      </c>
      <c r="G45" s="1">
        <f>TRIM(C45)</f>
        <v/>
      </c>
      <c r="H45" s="1">
        <f>VLOOKUP(C45,[1]Sheet1!$A$1:$D$188,2,FALSE)</f>
        <v/>
      </c>
      <c r="I45" t="n">
        <v>14.515525</v>
      </c>
      <c r="J45" t="n">
        <v>-90.603573</v>
      </c>
      <c r="K45" t="inlineStr">
        <is>
          <t>https://find.shell.com/gt/fuel/10128337-ss-linda-vista/es_GT</t>
        </is>
      </c>
      <c r="L45" t="inlineStr">
        <is>
          <t>2026-10-05</t>
        </is>
      </c>
      <c r="M45" t="inlineStr">
        <is>
          <t>SS LINDA VISTA</t>
        </is>
      </c>
    </row>
    <row r="46" ht="16.5" customHeight="1">
      <c r="A46" s="5" t="n"/>
      <c r="B46" s="5" t="n">
        <v>34</v>
      </c>
      <c r="C46" s="3" t="inlineStr">
        <is>
          <t>MASAGUA</t>
        </is>
      </c>
      <c r="D46" s="2" t="inlineStr">
        <is>
          <t>ESCUINTLA</t>
        </is>
      </c>
      <c r="E46" s="2" t="inlineStr">
        <is>
          <t>MASAGUA</t>
        </is>
      </c>
      <c r="F46" s="2" t="inlineStr">
        <is>
          <t>KM. 85 CARRETERA AL PACIFICO LOTE 76 ALDEA LLANITO ZONA 0 MASAGUA, ESCUINTLA</t>
        </is>
      </c>
      <c r="G46" s="1">
        <f>TRIM(C46)</f>
        <v/>
      </c>
      <c r="H46" s="1">
        <f>VLOOKUP(C46,[1]Sheet1!$A$1:$D$188,2,FALSE)</f>
        <v/>
      </c>
      <c r="I46" t="n">
        <v>14.084068</v>
      </c>
      <c r="J46" t="n">
        <v>-90.880934</v>
      </c>
      <c r="K46" t="inlineStr">
        <is>
          <t>https://find.shell.com/gt/fuel/10131272-ss-masagua-ag-rba-fue/es_GT</t>
        </is>
      </c>
      <c r="L46" t="inlineStr">
        <is>
          <t>2026-10-05</t>
        </is>
      </c>
      <c r="M46" t="inlineStr">
        <is>
          <t>SS MASAGUA - AG-RBA -FUE</t>
        </is>
      </c>
    </row>
    <row r="47" ht="16.5" customHeight="1">
      <c r="A47" s="5" t="n"/>
      <c r="B47" s="5" t="n">
        <v>35</v>
      </c>
      <c r="C47" s="3" t="inlineStr">
        <is>
          <t>MONTECALVO</t>
        </is>
      </c>
      <c r="D47" s="3" t="inlineStr">
        <is>
          <t>GUATEMALA</t>
        </is>
      </c>
      <c r="E47" s="3" t="inlineStr">
        <is>
          <t>GUATEMALA</t>
        </is>
      </c>
      <c r="F47" s="3" t="inlineStr">
        <is>
          <t>RUTA AL ATLANTICO KM 9 ZONA 18</t>
        </is>
      </c>
      <c r="G47" s="1">
        <f>TRIM(C47)</f>
        <v/>
      </c>
      <c r="H47" s="1">
        <f>VLOOKUP(C47,[1]Sheet1!$A$1:$D$188,2,FALSE)</f>
        <v/>
      </c>
      <c r="I47" t="n">
        <v>14.647595</v>
      </c>
      <c r="J47" t="n">
        <v>-90.44446499999999</v>
      </c>
      <c r="K47" t="inlineStr">
        <is>
          <t>https://find.shell.com/gt/fuel/10128237-ss-montecalvo/es_GT</t>
        </is>
      </c>
      <c r="L47" t="inlineStr">
        <is>
          <t>2026-10-05</t>
        </is>
      </c>
      <c r="M47" t="inlineStr">
        <is>
          <t>SS MONTECALVO</t>
        </is>
      </c>
    </row>
    <row r="48" ht="16.5" customHeight="1">
      <c r="A48" s="9" t="inlineStr">
        <is>
          <t xml:space="preserve">T, pesado </t>
        </is>
      </c>
      <c r="B48" s="5" t="n">
        <v>36</v>
      </c>
      <c r="C48" s="3" t="inlineStr">
        <is>
          <t>NUEVA MARISCAL</t>
        </is>
      </c>
      <c r="D48" s="2" t="inlineStr">
        <is>
          <t>GUATEMALA</t>
        </is>
      </c>
      <c r="E48" s="2" t="inlineStr">
        <is>
          <t>GUATEMALA</t>
        </is>
      </c>
      <c r="F48" s="2" t="inlineStr">
        <is>
          <t>CALZADA RAUL AGUILAR BATRES 21-50 ZONA 11</t>
        </is>
      </c>
      <c r="G48" s="1">
        <f>TRIM(C48)</f>
        <v/>
      </c>
      <c r="H48" s="1">
        <f>VLOOKUP(C48,[1]Sheet1!$A$1:$D$188,2,FALSE)</f>
        <v/>
      </c>
      <c r="I48" t="n">
        <v>14.600594</v>
      </c>
      <c r="J48" t="n">
        <v>-90.550585</v>
      </c>
      <c r="K48" t="inlineStr">
        <is>
          <t>https://find.shell.com/gt/fuel/10128284-ss-nueva-mariscal/es_GT</t>
        </is>
      </c>
      <c r="L48" t="inlineStr">
        <is>
          <t>2026-10-05</t>
        </is>
      </c>
      <c r="M48" t="inlineStr">
        <is>
          <t>SS NUEVA MARISCAL</t>
        </is>
      </c>
    </row>
    <row r="49" ht="16.5" customHeight="1">
      <c r="A49" s="5" t="n"/>
      <c r="B49" s="5" t="n">
        <v>37</v>
      </c>
      <c r="C49" s="3" t="inlineStr">
        <is>
          <t>PATZICIA</t>
        </is>
      </c>
      <c r="D49" s="2" t="inlineStr">
        <is>
          <t>CHIMALTENANGO</t>
        </is>
      </c>
      <c r="E49" s="2" t="inlineStr">
        <is>
          <t>PATZICIA</t>
        </is>
      </c>
      <c r="F49" s="2" t="inlineStr">
        <is>
          <t>KILOMETRO 69 RUTA INTERAMERICANA, PATZICIA, CHIMALTENANGO</t>
        </is>
      </c>
      <c r="G49" s="1">
        <f>TRIM(C49)</f>
        <v/>
      </c>
      <c r="H49" s="1">
        <f>VLOOKUP(C49,[1]Sheet1!$A$1:$D$188,2,FALSE)</f>
        <v/>
      </c>
      <c r="I49" t="n">
        <v>14.629379</v>
      </c>
      <c r="J49" t="n">
        <v>-90.917368</v>
      </c>
      <c r="K49" t="inlineStr">
        <is>
          <t>https://find.shell.com/gt/fuel/10128505-ss-patzicia/es_GT</t>
        </is>
      </c>
      <c r="L49" t="inlineStr">
        <is>
          <t>2026-10-05</t>
        </is>
      </c>
      <c r="M49" t="inlineStr">
        <is>
          <t>SS PATZICIA</t>
        </is>
      </c>
    </row>
    <row r="50" ht="16.5" customHeight="1">
      <c r="A50" s="5" t="n"/>
      <c r="B50" s="5" t="n">
        <v>38</v>
      </c>
      <c r="C50" s="3" t="inlineStr">
        <is>
          <t>PEGASO</t>
        </is>
      </c>
      <c r="D50" s="2" t="inlineStr">
        <is>
          <t>CHIMALTENANGO</t>
        </is>
      </c>
      <c r="E50" s="2" t="inlineStr">
        <is>
          <t>EL TEJAR</t>
        </is>
      </c>
      <c r="F50" s="2" t="inlineStr">
        <is>
          <t>KILOMETRO 49.5 CARRETERA INTERAMERICANA, EL TEJAR, CHIMALTENANGO</t>
        </is>
      </c>
      <c r="G50" s="1">
        <f>TRIM(C50)</f>
        <v/>
      </c>
      <c r="H50" s="1">
        <f>VLOOKUP(C50,[1]Sheet1!$A$1:$D$188,2,FALSE)</f>
        <v/>
      </c>
    </row>
    <row r="51" ht="16.5" customHeight="1">
      <c r="A51" s="5" t="n"/>
      <c r="B51" s="5" t="n">
        <v>39</v>
      </c>
      <c r="C51" s="3" t="inlineStr">
        <is>
          <t>PQ</t>
        </is>
      </c>
      <c r="D51" s="2" t="inlineStr">
        <is>
          <t>ESCUINTLA</t>
        </is>
      </c>
      <c r="E51" s="2" t="inlineStr">
        <is>
          <t>ESCUINTLA</t>
        </is>
      </c>
      <c r="F51" s="2" t="inlineStr">
        <is>
          <t>KM. 61.4 RUTA CA 2 SUR CANTÓN O CASERÍO CHICO CHIMARRÓN, ESCUINTLA</t>
        </is>
      </c>
      <c r="G51" s="1">
        <f>TRIM(C51)</f>
        <v/>
      </c>
      <c r="H51" s="1">
        <f>VLOOKUP(C51,[1]Sheet1!$A$1:$D$188,2,FALSE)</f>
        <v/>
      </c>
      <c r="I51" t="n">
        <v>14.285536</v>
      </c>
      <c r="J51" t="n">
        <v>-90.792067</v>
      </c>
      <c r="K51" t="inlineStr">
        <is>
          <t>https://find.shell.com/gt/fuel/10128352-ss-pq/es_GT</t>
        </is>
      </c>
      <c r="L51" t="inlineStr">
        <is>
          <t>2026-10-05</t>
        </is>
      </c>
      <c r="M51" t="inlineStr">
        <is>
          <t>SS PQ</t>
        </is>
      </c>
    </row>
    <row r="52" ht="16.5" customHeight="1">
      <c r="A52" s="5" t="n"/>
      <c r="B52" s="5" t="n">
        <v>40</v>
      </c>
      <c r="C52" s="3" t="inlineStr">
        <is>
          <t>PRADERA CHIMALTENANGO</t>
        </is>
      </c>
      <c r="D52" s="2" t="inlineStr">
        <is>
          <t>CHIMALTENANGO</t>
        </is>
      </c>
      <c r="E52" s="2" t="inlineStr">
        <is>
          <t>CHIMALTENANGO</t>
        </is>
      </c>
      <c r="F52" s="2" t="inlineStr">
        <is>
          <t>CARRETERA ANTIGUA A EL TEJAR PARCELA # 15 MICROPARCELAMIENTO LA ALAMEDA, CHIMALTENANGO</t>
        </is>
      </c>
      <c r="G52" s="1">
        <f>TRIM(C52)</f>
        <v/>
      </c>
      <c r="H52" s="1">
        <f>VLOOKUP(C52,[1]Sheet1!$A$1:$D$188,2,FALSE)</f>
        <v/>
      </c>
      <c r="I52" t="n">
        <v>14.653601</v>
      </c>
      <c r="J52" t="n">
        <v>-90.803014</v>
      </c>
      <c r="K52" t="inlineStr">
        <is>
          <t>https://find.shell.com/gt/fuel/10128362-ss-pradera-chimaltenango/es_GT</t>
        </is>
      </c>
      <c r="L52" t="inlineStr">
        <is>
          <t>2026-10-05</t>
        </is>
      </c>
      <c r="M52" t="inlineStr">
        <is>
          <t xml:space="preserve">SS PRADERA CHIMALTENANGO </t>
        </is>
      </c>
    </row>
    <row r="53" ht="16.5" customHeight="1">
      <c r="A53" s="5" t="n"/>
      <c r="B53" s="5" t="n">
        <v>41</v>
      </c>
      <c r="C53" s="3" t="inlineStr">
        <is>
          <t>PUERTA PARADA</t>
        </is>
      </c>
      <c r="D53" s="2" t="inlineStr">
        <is>
          <t>GUATEMALA</t>
        </is>
      </c>
      <c r="E53" s="2" t="inlineStr">
        <is>
          <t>SANTA CATARINA PINULA</t>
        </is>
      </c>
      <c r="F53" s="2" t="inlineStr">
        <is>
          <t>KM 14.2 CARRETERA EL SALVADOR CA-1 ORIENTE, SANTA CATARINA PINULA</t>
        </is>
      </c>
      <c r="G53" s="1">
        <f>TRIM(C53)</f>
        <v/>
      </c>
      <c r="H53" s="1">
        <f>VLOOKUP(C53,[1]Sheet1!$A$1:$D$188,2,FALSE)</f>
        <v/>
      </c>
      <c r="I53" t="n">
        <v>14.560079</v>
      </c>
      <c r="J53" t="n">
        <v>-90.46278100000001</v>
      </c>
      <c r="K53" t="inlineStr">
        <is>
          <t>https://find.shell.com/gt/fuel/10128475-ss-puerta-parada/es_GT</t>
        </is>
      </c>
      <c r="L53" t="inlineStr">
        <is>
          <t>2026-10-05</t>
        </is>
      </c>
      <c r="M53" t="inlineStr">
        <is>
          <t>SS PUERTA PARADA</t>
        </is>
      </c>
    </row>
    <row r="54" ht="16.5" customHeight="1">
      <c r="A54" s="5" t="n"/>
      <c r="B54" s="5" t="n">
        <v>42</v>
      </c>
      <c r="C54" s="3" t="inlineStr">
        <is>
          <t>QUICHE</t>
        </is>
      </c>
      <c r="D54" s="2" t="inlineStr">
        <is>
          <t>QUICHE</t>
        </is>
      </c>
      <c r="E54" s="2" t="inlineStr">
        <is>
          <t>SANTA CRUZ DEL QUICHE</t>
        </is>
      </c>
      <c r="F54" s="2" t="inlineStr">
        <is>
          <t>5 AVENIDA 14B-50 ZONA 2 SANTA CRUZ DEL QUICHE, QUICHE</t>
        </is>
      </c>
      <c r="G54" s="1">
        <f>TRIM(C54)</f>
        <v/>
      </c>
      <c r="H54" s="1">
        <f>VLOOKUP(C54,[1]Sheet1!$A$1:$D$188,2,FALSE)</f>
        <v/>
      </c>
      <c r="I54" t="n">
        <v>15.044239</v>
      </c>
      <c r="J54" t="n">
        <v>-91.151371</v>
      </c>
      <c r="K54" t="inlineStr">
        <is>
          <t>https://find.shell.com/gt/fuel/10131326-ss-quiche/es_GT</t>
        </is>
      </c>
      <c r="L54" t="inlineStr">
        <is>
          <t>2026-10-05</t>
        </is>
      </c>
      <c r="M54" t="inlineStr">
        <is>
          <t>SS QUICHE</t>
        </is>
      </c>
    </row>
    <row r="55" ht="16.5" customHeight="1">
      <c r="A55" s="5" t="n"/>
      <c r="B55" s="5" t="n">
        <v>43</v>
      </c>
      <c r="C55" s="3" t="inlineStr">
        <is>
          <t>RIO BRAVO</t>
        </is>
      </c>
      <c r="D55" s="2" t="inlineStr">
        <is>
          <t>SUCHITEPEQUEZ</t>
        </is>
      </c>
      <c r="E55" s="2" t="inlineStr">
        <is>
          <t>RIO BRAVO</t>
        </is>
      </c>
      <c r="F55" s="2" t="inlineStr">
        <is>
          <t>KM. 125 CARRETERA CA-2 RUTA AL PACIFICO, ENTRADA A LA ALDEA EL GUATALON</t>
        </is>
      </c>
      <c r="G55" s="1">
        <f>TRIM(C55)</f>
        <v/>
      </c>
      <c r="H55" s="1">
        <f>VLOOKUP(C55,[1]Sheet1!$A$1:$D$188,2,FALSE)</f>
        <v/>
      </c>
      <c r="I55" t="n">
        <v>14.411228</v>
      </c>
      <c r="J55" t="n">
        <v>-91.29915</v>
      </c>
      <c r="K55" t="inlineStr">
        <is>
          <t>https://find.shell.com/gt/fuel/10128477-ss-rio-bravo/es_GT</t>
        </is>
      </c>
      <c r="L55" t="inlineStr">
        <is>
          <t>2026-10-05</t>
        </is>
      </c>
      <c r="M55" t="inlineStr">
        <is>
          <t>SS RIO BRAVO</t>
        </is>
      </c>
    </row>
    <row r="56" ht="16.5" customHeight="1">
      <c r="A56" s="5" t="n"/>
      <c r="B56" s="5" t="n">
        <v>44</v>
      </c>
      <c r="C56" s="3" t="inlineStr">
        <is>
          <t>RIO HONDO</t>
        </is>
      </c>
      <c r="D56" s="2" t="inlineStr">
        <is>
          <t>ZACAPA</t>
        </is>
      </c>
      <c r="E56" s="2" t="inlineStr">
        <is>
          <t>RIO HONDO</t>
        </is>
      </c>
      <c r="F56" s="2" t="inlineStr">
        <is>
          <t>KM 136 RUTA AL ATLANTICO, RIO HONDO, ZACAPA</t>
        </is>
      </c>
      <c r="G56" s="1">
        <f>TRIM(C56)</f>
        <v/>
      </c>
      <c r="H56" s="1">
        <f>VLOOKUP(C56,[1]Sheet1!$A$1:$D$188,2,FALSE)</f>
        <v/>
      </c>
      <c r="I56" t="n">
        <v>15.041124</v>
      </c>
      <c r="J56" t="n">
        <v>-89.58703</v>
      </c>
      <c r="K56" t="inlineStr">
        <is>
          <t>https://find.shell.com/gt/fuel/10128283-ss-rio-hondo/es_GT</t>
        </is>
      </c>
      <c r="L56" t="inlineStr">
        <is>
          <t>2026-10-05</t>
        </is>
      </c>
      <c r="M56" t="inlineStr">
        <is>
          <t>SS RIO HONDO</t>
        </is>
      </c>
    </row>
    <row r="57" ht="16.5" customHeight="1">
      <c r="A57" s="5" t="n"/>
      <c r="B57" s="5" t="n">
        <v>45</v>
      </c>
      <c r="C57" s="3" t="inlineStr">
        <is>
          <t>ROOSEVELT</t>
        </is>
      </c>
      <c r="D57" s="2" t="inlineStr">
        <is>
          <t>GUATEMALA</t>
        </is>
      </c>
      <c r="E57" s="2" t="inlineStr">
        <is>
          <t>MIXCO</t>
        </is>
      </c>
      <c r="F57" s="2" t="inlineStr">
        <is>
          <t>CALZADA ROOSEVELT KM. 13 39-30 ZONA 7 MIXCO</t>
        </is>
      </c>
      <c r="G57" s="1">
        <f>TRIM(C57)</f>
        <v/>
      </c>
      <c r="H57" s="1">
        <f>VLOOKUP(C57,[1]Sheet1!$A$1:$D$188,2,FALSE)</f>
        <v/>
      </c>
      <c r="I57" t="n">
        <v>14.633868</v>
      </c>
      <c r="J57" t="n">
        <v>-90.571326</v>
      </c>
      <c r="K57" t="inlineStr">
        <is>
          <t>https://find.shell.com/gt/fuel/10128308-ss-roosevelt/es_GT</t>
        </is>
      </c>
      <c r="L57" t="inlineStr">
        <is>
          <t>2026-10-05</t>
        </is>
      </c>
      <c r="M57" t="inlineStr">
        <is>
          <t>SS ROOSEVELT</t>
        </is>
      </c>
    </row>
    <row r="58" ht="16.5" customHeight="1">
      <c r="A58" s="5" t="n"/>
      <c r="B58" s="5" t="n">
        <v>46</v>
      </c>
      <c r="C58" s="3" t="inlineStr">
        <is>
          <t>SALCAJÁ</t>
        </is>
      </c>
      <c r="D58" s="2" t="inlineStr">
        <is>
          <t>QUETZALTENANGO</t>
        </is>
      </c>
      <c r="E58" s="2" t="inlineStr">
        <is>
          <t>SALCAJA</t>
        </is>
      </c>
      <c r="F58" s="2" t="inlineStr">
        <is>
          <t>KM. 190 AUTOPISTA LOS ALTOS LABOR CASA BLANCA, SALCAJA, QUETZALTENANGO</t>
        </is>
      </c>
      <c r="G58" s="1">
        <f>TRIM(C58)</f>
        <v/>
      </c>
      <c r="H58" s="1">
        <f>VLOOKUP(C58,[1]Sheet1!$A$1:$D$188,2,FALSE)</f>
        <v/>
      </c>
    </row>
    <row r="59" ht="16.5" customHeight="1">
      <c r="A59" s="5" t="n"/>
      <c r="B59" s="5" t="n">
        <v>47</v>
      </c>
      <c r="C59" s="3" t="inlineStr">
        <is>
          <t>SAN ANTONIO PALO GORDO</t>
        </is>
      </c>
      <c r="D59" s="2" t="inlineStr">
        <is>
          <t>SUCHITEPEQUEZ</t>
        </is>
      </c>
      <c r="E59" s="2" t="inlineStr">
        <is>
          <t>SAN ANTONIO SUCHITEPEQUEZ</t>
        </is>
      </c>
      <c r="F59" s="2" t="inlineStr">
        <is>
          <t>02 AVENIDA 05-67 ZONA 01 SAN ANTONIO SUCHITEPEQUEZ</t>
        </is>
      </c>
      <c r="G59" s="1">
        <f>TRIM(C59)</f>
        <v/>
      </c>
      <c r="H59" s="1">
        <f>VLOOKUP(C59,[1]Sheet1!$A$1:$D$188,2,FALSE)</f>
        <v/>
      </c>
      <c r="I59" t="n">
        <v>14.537943</v>
      </c>
      <c r="J59" t="n">
        <v>-91.41649700000001</v>
      </c>
      <c r="K59" t="inlineStr">
        <is>
          <t>https://find.shell.com/gt/fuel/10128448-ss-san-antonio-palo-gordo/es_GT</t>
        </is>
      </c>
      <c r="L59" t="inlineStr">
        <is>
          <t>2026-10-05</t>
        </is>
      </c>
      <c r="M59" t="inlineStr">
        <is>
          <t>SS SAN ANTONIO PALO GORDO</t>
        </is>
      </c>
    </row>
    <row r="60" ht="16.5" customHeight="1">
      <c r="A60" s="5" t="n"/>
      <c r="B60" s="5" t="n">
        <v>48</v>
      </c>
      <c r="C60" s="3" t="inlineStr">
        <is>
          <t>SAN CRISTÓBAL II</t>
        </is>
      </c>
      <c r="D60" s="2" t="inlineStr">
        <is>
          <t>GUATEMALA</t>
        </is>
      </c>
      <c r="E60" s="2" t="inlineStr">
        <is>
          <t>MIXCO</t>
        </is>
      </c>
      <c r="F60" s="2" t="inlineStr">
        <is>
          <t>BOULEVARD SAN CRISTOBAL 3A CALLE 10-24, MIXCO</t>
        </is>
      </c>
      <c r="G60" s="1">
        <f>TRIM(C60)</f>
        <v/>
      </c>
      <c r="H60" s="1">
        <f>VLOOKUP(C60,[1]Sheet1!$A$1:$D$188,2,FALSE)</f>
        <v/>
      </c>
      <c r="I60" t="n">
        <v>14.607363</v>
      </c>
      <c r="J60" t="n">
        <v>-90.586947</v>
      </c>
      <c r="K60" t="inlineStr">
        <is>
          <t>https://find.shell.com/gt/fuel/10128342-ss-san-cristobal-ii/es_GT</t>
        </is>
      </c>
      <c r="L60" t="inlineStr">
        <is>
          <t>2026-10-05</t>
        </is>
      </c>
      <c r="M60" t="inlineStr">
        <is>
          <t>SS SAN CRISTOBAL II</t>
        </is>
      </c>
    </row>
    <row r="61" ht="16.5" customHeight="1">
      <c r="A61" s="5" t="n"/>
      <c r="B61" s="5" t="n">
        <v>49</v>
      </c>
      <c r="C61" s="3" t="inlineStr">
        <is>
          <t>SAN LUCAS</t>
        </is>
      </c>
      <c r="D61" s="2" t="inlineStr">
        <is>
          <t>SACATEPEQUEZ</t>
        </is>
      </c>
      <c r="E61" s="2" t="inlineStr">
        <is>
          <t>SAN LUCAS SACATEPEQUEZ</t>
        </is>
      </c>
      <c r="F61" s="2" t="inlineStr">
        <is>
          <t>KM. 29.5 CARRETERA INTERAMERICANA, SAN LUCAS, SACATEPEQUEZ</t>
        </is>
      </c>
      <c r="G61" s="1">
        <f>TRIM(C61)</f>
        <v/>
      </c>
      <c r="H61" s="1">
        <f>VLOOKUP(C61,[1]Sheet1!$A$1:$D$188,2,FALSE)</f>
        <v/>
      </c>
      <c r="I61" t="n">
        <v>14.608642</v>
      </c>
      <c r="J61" t="n">
        <v>-90.662707</v>
      </c>
      <c r="K61" t="inlineStr">
        <is>
          <t>https://find.shell.com/gt/fuel/10131185-ss-san-lucas-ii/es_GT</t>
        </is>
      </c>
      <c r="L61" t="inlineStr">
        <is>
          <t>2026-10-05</t>
        </is>
      </c>
      <c r="M61" t="inlineStr">
        <is>
          <t>SS SAN LUCAS II</t>
        </is>
      </c>
    </row>
    <row r="62" ht="16.5" customHeight="1">
      <c r="A62" s="5" t="n"/>
      <c r="B62" s="5" t="n">
        <v>50</v>
      </c>
      <c r="C62" s="3" t="inlineStr">
        <is>
          <t>SAN LUIS</t>
        </is>
      </c>
      <c r="D62" s="2" t="inlineStr">
        <is>
          <t>ESCUINTLA</t>
        </is>
      </c>
      <c r="E62" s="2" t="inlineStr">
        <is>
          <t>ESCUINTLA</t>
        </is>
      </c>
      <c r="F62" s="2" t="inlineStr">
        <is>
          <t>KILOMETRO 59.5 CARRETERA A SIQUINALA, ESCUINTLA</t>
        </is>
      </c>
      <c r="G62" s="1">
        <f>TRIM(C62)</f>
        <v/>
      </c>
      <c r="H62" s="1">
        <f>VLOOKUP(C62,[1]Sheet1!$A$1:$D$188,2,FALSE)</f>
        <v/>
      </c>
      <c r="I62" t="n">
        <v>14.291088</v>
      </c>
      <c r="J62" t="n">
        <v>-90.797543</v>
      </c>
      <c r="K62" t="inlineStr">
        <is>
          <t>https://find.shell.com/gt/fuel/10131303-ss-san-luis/es_GT</t>
        </is>
      </c>
      <c r="L62" t="inlineStr">
        <is>
          <t>2026-10-05</t>
        </is>
      </c>
      <c r="M62" t="inlineStr">
        <is>
          <t>SS SAN LUIS</t>
        </is>
      </c>
    </row>
    <row r="63" ht="16.5" customHeight="1">
      <c r="A63" s="5" t="n"/>
      <c r="B63" s="5" t="n">
        <v>51</v>
      </c>
      <c r="C63" s="3" t="inlineStr">
        <is>
          <t>SAN PEDRITO</t>
        </is>
      </c>
      <c r="D63" s="2" t="inlineStr">
        <is>
          <t>GUATEMALA</t>
        </is>
      </c>
      <c r="E63" s="2" t="inlineStr">
        <is>
          <t>GUATEMALA</t>
        </is>
      </c>
      <c r="F63" s="2" t="inlineStr">
        <is>
          <t>12 AVENIDA 27-16 ZONA 5</t>
        </is>
      </c>
      <c r="G63" s="1">
        <f>TRIM(C63)</f>
        <v/>
      </c>
      <c r="H63" s="1">
        <f>VLOOKUP(C63,[1]Sheet1!$A$1:$D$188,2,FALSE)</f>
        <v/>
      </c>
      <c r="I63" t="n">
        <v>14.621515</v>
      </c>
      <c r="J63" t="n">
        <v>-90.509755</v>
      </c>
      <c r="K63" t="inlineStr">
        <is>
          <t>https://find.shell.com/gt/fuel/10128313-ss-san-pedrito/es_GT</t>
        </is>
      </c>
      <c r="L63" t="inlineStr">
        <is>
          <t>2026-10-05</t>
        </is>
      </c>
      <c r="M63" t="inlineStr">
        <is>
          <t>SS SAN PEDRITO</t>
        </is>
      </c>
    </row>
    <row r="64" ht="16.5" customHeight="1">
      <c r="A64" s="5" t="n"/>
      <c r="B64" s="5" t="n">
        <v>52</v>
      </c>
      <c r="C64" s="3" t="inlineStr">
        <is>
          <t>SAN SEBASTIAN</t>
        </is>
      </c>
      <c r="D64" s="2" t="inlineStr">
        <is>
          <t>RETALHULEU</t>
        </is>
      </c>
      <c r="E64" s="2" t="inlineStr">
        <is>
          <t>SAN SEBASTIAN</t>
        </is>
      </c>
      <c r="F64" s="2" t="inlineStr">
        <is>
          <t>KM. 178 CARRETERA AL PACIFICO, SAN SEBASTIAN, RETALHULEU</t>
        </is>
      </c>
      <c r="G64" s="1">
        <f>TRIM(C64)</f>
        <v/>
      </c>
      <c r="H64" s="1">
        <f>VLOOKUP(C64,[1]Sheet1!$A$1:$D$188,2,FALSE)</f>
        <v/>
      </c>
      <c r="I64" t="n">
        <v>14.575047</v>
      </c>
      <c r="J64" t="n">
        <v>-91.642349</v>
      </c>
      <c r="K64" t="inlineStr">
        <is>
          <t>https://find.shell.com/gt/fuel/10128261-ss-san-sebastian-reu/es_GT</t>
        </is>
      </c>
      <c r="L64" t="inlineStr">
        <is>
          <t>2026-10-05</t>
        </is>
      </c>
      <c r="M64" t="inlineStr">
        <is>
          <t>SS SAN SEBASTIAN REU</t>
        </is>
      </c>
    </row>
    <row r="65" ht="16.5" customHeight="1">
      <c r="A65" s="5" t="n"/>
      <c r="B65" s="5" t="n">
        <v>53</v>
      </c>
      <c r="C65" s="3" t="inlineStr">
        <is>
          <t>SANTA CRUZ ZACAPA</t>
        </is>
      </c>
      <c r="D65" s="2" t="inlineStr">
        <is>
          <t>ZACAPA</t>
        </is>
      </c>
      <c r="E65" s="2" t="inlineStr">
        <is>
          <t>TECULUTAN</t>
        </is>
      </c>
      <c r="F65" s="3" t="inlineStr">
        <is>
          <t>KM. 126 CARRETERA AL ATLÁNTICO, SANTA CRUZ, RIO HONDO, ZACAPA</t>
        </is>
      </c>
      <c r="G65" s="1">
        <f>TRIM(C65)</f>
        <v/>
      </c>
      <c r="H65" s="1">
        <f>VLOOKUP(C65,[1]Sheet1!$A$1:$D$188,2,FALSE)</f>
        <v/>
      </c>
    </row>
    <row r="66" ht="16.5" customHeight="1">
      <c r="A66" s="5" t="n"/>
      <c r="B66" s="5" t="n">
        <v>54</v>
      </c>
      <c r="C66" s="3" t="inlineStr">
        <is>
          <t>SANTA ELENA</t>
        </is>
      </c>
      <c r="D66" s="2" t="inlineStr">
        <is>
          <t>PETEN</t>
        </is>
      </c>
      <c r="E66" s="2" t="inlineStr">
        <is>
          <t>FLORES</t>
        </is>
      </c>
      <c r="F66" s="3" t="inlineStr">
        <is>
          <t>4A. CALLE CIUDAD SATELITE, SANTA ELENA, PETEN</t>
        </is>
      </c>
      <c r="G66" s="1">
        <f>TRIM(C66)</f>
        <v/>
      </c>
      <c r="H66" s="1">
        <f>VLOOKUP(C66,[1]Sheet1!$A$1:$D$188,2,FALSE)</f>
        <v/>
      </c>
    </row>
    <row r="67" ht="16.5" customHeight="1">
      <c r="A67" s="5" t="n"/>
      <c r="B67" s="5" t="n">
        <v>55</v>
      </c>
      <c r="C67" s="3" t="inlineStr">
        <is>
          <t>SANTA ELISA</t>
        </is>
      </c>
      <c r="D67" s="2" t="inlineStr">
        <is>
          <t>GUATEMALA</t>
        </is>
      </c>
      <c r="E67" s="2" t="inlineStr">
        <is>
          <t>GUATEMALA</t>
        </is>
      </c>
      <c r="F67" s="2" t="inlineStr">
        <is>
          <t>AVENIDA PETAPA 32-69 ZONA 12</t>
        </is>
      </c>
      <c r="G67" s="1">
        <f>TRIM(C67)</f>
        <v/>
      </c>
      <c r="H67" s="1">
        <f>VLOOKUP(C67,[1]Sheet1!$A$1:$D$188,2,FALSE)</f>
        <v/>
      </c>
      <c r="I67" t="n">
        <v>14.587399</v>
      </c>
      <c r="J67" t="n">
        <v>-90.545118</v>
      </c>
      <c r="K67" t="inlineStr">
        <is>
          <t>https://find.shell.com/gt/fuel/10128290-ss-santa-elisa/es_GT</t>
        </is>
      </c>
      <c r="L67" t="inlineStr">
        <is>
          <t>2026-10-05</t>
        </is>
      </c>
      <c r="M67" t="inlineStr">
        <is>
          <t>SS SANTA ELISA</t>
        </is>
      </c>
    </row>
    <row r="68" ht="16.5" customHeight="1">
      <c r="A68" s="5" t="n"/>
      <c r="B68" s="5" t="n">
        <v>56</v>
      </c>
      <c r="C68" s="3" t="inlineStr">
        <is>
          <t>TERMINAL ZACAPA</t>
        </is>
      </c>
      <c r="D68" s="2" t="inlineStr">
        <is>
          <t>ZACAPA</t>
        </is>
      </c>
      <c r="E68" s="2" t="inlineStr">
        <is>
          <t>ZACAPA</t>
        </is>
      </c>
      <c r="F68" s="2" t="inlineStr">
        <is>
          <t>CALZADA MIGUEL GARCÍA GRANADOS ZONA 4, ZACAPA</t>
        </is>
      </c>
      <c r="G68" s="1">
        <f>TRIM(C68)</f>
        <v/>
      </c>
      <c r="H68" s="1">
        <f>VLOOKUP(C68,[1]Sheet1!$A$1:$D$188,2,FALSE)</f>
        <v/>
      </c>
      <c r="I68" t="n">
        <v>14.963462</v>
      </c>
      <c r="J68" t="n">
        <v>-89.529877</v>
      </c>
      <c r="K68" t="inlineStr">
        <is>
          <t>https://find.shell.com/gt/fuel/10128332-ss-terminal-zacapa/es_GT</t>
        </is>
      </c>
      <c r="L68" t="inlineStr">
        <is>
          <t>2026-10-05</t>
        </is>
      </c>
      <c r="M68" t="inlineStr">
        <is>
          <t>SS TERMINAL ZACAPA</t>
        </is>
      </c>
    </row>
    <row r="69" ht="16.5" customHeight="1">
      <c r="A69" s="5" t="n"/>
      <c r="B69" s="5" t="n">
        <v>57</v>
      </c>
      <c r="C69" s="3" t="inlineStr">
        <is>
          <t>TIKAL FUTURA PERIFERICO</t>
        </is>
      </c>
      <c r="D69" s="2" t="inlineStr">
        <is>
          <t>GUATEMALA</t>
        </is>
      </c>
      <c r="E69" s="2" t="inlineStr">
        <is>
          <t>GUATEMALA</t>
        </is>
      </c>
      <c r="F69" s="2" t="inlineStr">
        <is>
          <t>CALZADA ROOSEVELT 22-43 ZONA 11, C.C. TIKAL FUTURA</t>
        </is>
      </c>
      <c r="G69" s="1">
        <f>TRIM(C69)</f>
        <v/>
      </c>
      <c r="H69" s="1">
        <f>VLOOKUP(C69,[1]Sheet1!$A$1:$D$188,2,FALSE)</f>
        <v/>
      </c>
      <c r="I69" t="n">
        <v>14.621654</v>
      </c>
      <c r="J69" t="n">
        <v>-90.553984</v>
      </c>
      <c r="K69" t="inlineStr">
        <is>
          <t>https://find.shell.com/gt/fuel/10128443-ss-tikal-periferico/es_GT</t>
        </is>
      </c>
      <c r="L69" t="inlineStr">
        <is>
          <t>2026-10-05</t>
        </is>
      </c>
      <c r="M69" t="inlineStr">
        <is>
          <t>SS TIKAL PERIFERICO</t>
        </is>
      </c>
    </row>
    <row r="70" ht="16.5" customHeight="1">
      <c r="A70" s="5" t="n"/>
      <c r="B70" s="5" t="n">
        <v>58</v>
      </c>
      <c r="C70" s="3" t="inlineStr">
        <is>
          <t>TIKAL FUTURA ROOSEVELT</t>
        </is>
      </c>
      <c r="D70" s="2" t="inlineStr">
        <is>
          <t>GUATEMALA</t>
        </is>
      </c>
      <c r="E70" s="2" t="inlineStr">
        <is>
          <t>GUATEMALA</t>
        </is>
      </c>
      <c r="F70" s="2" t="inlineStr">
        <is>
          <t>CALZADA ROOSEVELT 22-43 ZONA 11, C.C. TIKAL FUTURA</t>
        </is>
      </c>
      <c r="G70" s="1">
        <f>TRIM(C70)</f>
        <v/>
      </c>
      <c r="H70" s="1">
        <f>VLOOKUP(C70,[1]Sheet1!$A$1:$D$188,2,FALSE)</f>
        <v/>
      </c>
      <c r="I70" t="n">
        <v>14.623325</v>
      </c>
      <c r="J70" t="n">
        <v>-90.55293500000001</v>
      </c>
      <c r="K70" t="inlineStr">
        <is>
          <t>https://find.shell.com/gt/fuel/10128451-ss-tikal-roosevelt/es_GT</t>
        </is>
      </c>
      <c r="L70" t="inlineStr">
        <is>
          <t>2026-10-05</t>
        </is>
      </c>
      <c r="M70" t="inlineStr">
        <is>
          <t>SS TIKAL ROOSEVELT</t>
        </is>
      </c>
    </row>
    <row r="71" ht="16.5" customHeight="1">
      <c r="A71" s="5" t="n"/>
      <c r="B71" s="5" t="n">
        <v>59</v>
      </c>
      <c r="C71" s="3" t="inlineStr">
        <is>
          <t>TULAM ZU</t>
        </is>
      </c>
      <c r="D71" s="2" t="inlineStr">
        <is>
          <t>GUATEMALA</t>
        </is>
      </c>
      <c r="E71" s="2" t="inlineStr">
        <is>
          <t>MIXCO</t>
        </is>
      </c>
      <c r="F71" s="2" t="inlineStr">
        <is>
          <t>BOULEVARD TULAM ZU LOTE 3 ZONA 4 MIXCO</t>
        </is>
      </c>
      <c r="G71" s="1">
        <f>TRIM(C71)</f>
        <v/>
      </c>
      <c r="H71" s="1">
        <f>VLOOKUP(C71,[1]Sheet1!$A$1:$D$188,2,FALSE)</f>
        <v/>
      </c>
      <c r="I71" t="n">
        <v>14.644982</v>
      </c>
      <c r="J71" t="n">
        <v>-90.558212</v>
      </c>
      <c r="K71" t="inlineStr">
        <is>
          <t>https://find.shell.com/gt/fuel/10128461-ss-tulam-zu/es_GT</t>
        </is>
      </c>
      <c r="L71" t="inlineStr">
        <is>
          <t>2026-10-05</t>
        </is>
      </c>
      <c r="M71" t="inlineStr">
        <is>
          <t>SS TULAM ZU</t>
        </is>
      </c>
    </row>
    <row r="72" ht="16.5" customHeight="1">
      <c r="A72" s="5" t="n"/>
      <c r="B72" s="5" t="n">
        <v>60</v>
      </c>
      <c r="C72" s="3" t="inlineStr">
        <is>
          <t>VERAPAZ SANTA CRUZ</t>
        </is>
      </c>
      <c r="D72" s="2" t="inlineStr">
        <is>
          <t>ALTA VERAPAZ</t>
        </is>
      </c>
      <c r="E72" s="2" t="inlineStr">
        <is>
          <t>SANTA CRUZ VERAPAZ</t>
        </is>
      </c>
      <c r="F72" s="2" t="inlineStr">
        <is>
          <t>KM 198.5 CARRETERA A COBAN, SANTA CRUZ VERAPAZ, ALTA VERAPAZ</t>
        </is>
      </c>
      <c r="G72" s="1">
        <f>TRIM(C72)</f>
        <v/>
      </c>
      <c r="H72" s="1">
        <f>VLOOKUP(C72,[1]Sheet1!$A$1:$D$188,2,FALSE)</f>
        <v/>
      </c>
      <c r="I72" t="n">
        <v>15.382227</v>
      </c>
      <c r="J72" t="n">
        <v>-90.41467</v>
      </c>
      <c r="K72" t="inlineStr">
        <is>
          <t>https://find.shell.com/gt/fuel/10131328-ss-verapaz-santa-cruz/es_GT</t>
        </is>
      </c>
      <c r="L72" t="inlineStr">
        <is>
          <t>2026-10-05</t>
        </is>
      </c>
      <c r="M72" t="inlineStr">
        <is>
          <t>SS VERAPAZ SANTA CRUZ</t>
        </is>
      </c>
    </row>
    <row r="73" ht="16.5" customHeight="1">
      <c r="A73" s="5" t="n"/>
      <c r="B73" s="5" t="n">
        <v>61</v>
      </c>
      <c r="C73" s="3" t="inlineStr">
        <is>
          <t>VILLA NUEVA</t>
        </is>
      </c>
      <c r="D73" s="2" t="inlineStr">
        <is>
          <t>GUATEMALA</t>
        </is>
      </c>
      <c r="E73" s="2" t="inlineStr">
        <is>
          <t>VILLA NUEVA</t>
        </is>
      </c>
      <c r="F73" s="2" t="inlineStr">
        <is>
          <t>4A. AVENIDA 4-23 ZONA 6 VILLA NUEVA</t>
        </is>
      </c>
      <c r="G73" s="1">
        <f>TRIM(C73)</f>
        <v/>
      </c>
      <c r="H73" s="1">
        <f>VLOOKUP(C73,[1]Sheet1!$A$1:$D$188,2,FALSE)</f>
        <v/>
      </c>
    </row>
    <row r="74" ht="16.5" customHeight="1">
      <c r="A74" s="5" t="n"/>
      <c r="B74" s="5" t="n">
        <v>62</v>
      </c>
      <c r="C74" s="3" t="inlineStr">
        <is>
          <t>VISTA HERMOSA</t>
        </is>
      </c>
      <c r="D74" s="2" t="inlineStr">
        <is>
          <t>GUATEMALA</t>
        </is>
      </c>
      <c r="E74" s="2" t="inlineStr">
        <is>
          <t>GUATEMALA</t>
        </is>
      </c>
      <c r="F74" s="2" t="inlineStr">
        <is>
          <t>2DA. CALLE 23-69 ZONA 15</t>
        </is>
      </c>
      <c r="G74" s="1">
        <f>TRIM(C74)</f>
        <v/>
      </c>
      <c r="H74" s="1">
        <f>VLOOKUP(C74,[1]Sheet1!$A$1:$D$188,2,FALSE)</f>
        <v/>
      </c>
      <c r="I74" t="n">
        <v>14.583928</v>
      </c>
      <c r="J74" t="n">
        <v>-90.48621900000001</v>
      </c>
      <c r="K74" t="inlineStr">
        <is>
          <t>https://find.shell.com/gt/fuel/10128398-ss-vista-hermosa/es_GT</t>
        </is>
      </c>
      <c r="L74" t="inlineStr">
        <is>
          <t>2026-10-05</t>
        </is>
      </c>
      <c r="M74" t="inlineStr">
        <is>
          <t>SS VISTA HERMOSA</t>
        </is>
      </c>
    </row>
    <row r="75" ht="16.5" customHeight="1">
      <c r="A75" s="5" t="n"/>
      <c r="B75" s="5" t="n">
        <v>63</v>
      </c>
      <c r="C75" s="3" t="inlineStr">
        <is>
          <t>LA BENDICION COATEPEQUE</t>
        </is>
      </c>
      <c r="D75" s="2" t="inlineStr">
        <is>
          <t>QUETZALTENANGO</t>
        </is>
      </c>
      <c r="E75" s="2" t="inlineStr">
        <is>
          <t>COATEPEQUE</t>
        </is>
      </c>
      <c r="F75" s="2" t="inlineStr">
        <is>
          <t>Aldea La Union, Kilometro 225 Zona 5 Coatepeque, Quetzaltenango.</t>
        </is>
      </c>
      <c r="G75" s="1">
        <f>TRIM(C75)</f>
        <v/>
      </c>
      <c r="H75" s="1">
        <f>VLOOKUP(C75,[1]Sheet1!$A$1:$D$188,2,FALSE)</f>
        <v/>
      </c>
    </row>
    <row r="76" ht="16.5" customHeight="1">
      <c r="A76" s="5" t="n"/>
      <c r="B76" s="5" t="n">
        <v>64</v>
      </c>
      <c r="C76" s="3" t="inlineStr">
        <is>
          <t>FER</t>
        </is>
      </c>
      <c r="D76" s="2" t="inlineStr">
        <is>
          <t>GUATEMALA</t>
        </is>
      </c>
      <c r="E76" s="2" t="inlineStr">
        <is>
          <t>SANTA CATARINA PINULA</t>
        </is>
      </c>
      <c r="F76" s="2" t="inlineStr">
        <is>
          <t>Carretera a San Jose Pinula, Lote 2, Don Justo, zona 7 Santa Catarina Pinula, Guatemala</t>
        </is>
      </c>
      <c r="G76" s="1">
        <f>TRIM(C76)</f>
        <v/>
      </c>
      <c r="H76" s="1">
        <f>VLOOKUP(C76,[1]Sheet1!$A$1:$D$188,2,FALSE)</f>
        <v/>
      </c>
      <c r="I76" t="n">
        <v>14.542066</v>
      </c>
      <c r="J76" t="n">
        <v>-90.45044</v>
      </c>
      <c r="K76" t="inlineStr">
        <is>
          <t>https://find.shell.com/gt/fuel/10128445-ss-fer/es_GT</t>
        </is>
      </c>
      <c r="L76" t="inlineStr">
        <is>
          <t>2026-10-05</t>
        </is>
      </c>
      <c r="M76" t="inlineStr">
        <is>
          <t xml:space="preserve">SS FER </t>
        </is>
      </c>
    </row>
    <row r="77" ht="16.5" customHeight="1">
      <c r="A77" s="5" t="n"/>
      <c r="B77" s="5" t="n">
        <v>65</v>
      </c>
      <c r="C77" s="3" t="inlineStr">
        <is>
          <t>SAN BENITO</t>
        </is>
      </c>
      <c r="D77" s="2" t="inlineStr">
        <is>
          <t>PETEN</t>
        </is>
      </c>
      <c r="E77" s="2" t="inlineStr">
        <is>
          <t>SAN BENITO</t>
        </is>
      </c>
      <c r="F77" s="2" t="inlineStr">
        <is>
          <t>Calzada Francisco Javier Lopez Marroquin Barrio El Redentor, San Benito Petén</t>
        </is>
      </c>
      <c r="G77" s="1">
        <f>TRIM(C77)</f>
        <v/>
      </c>
      <c r="H77" s="1">
        <f>VLOOKUP(C77,[1]Sheet1!$A$1:$D$188,2,FALSE)</f>
        <v/>
      </c>
    </row>
    <row r="78" ht="16.5" customHeight="1">
      <c r="A78" s="5" t="n"/>
      <c r="B78" s="5" t="n">
        <v>66</v>
      </c>
      <c r="C78" s="3" t="inlineStr">
        <is>
          <t>PLAYA GRANDE</t>
        </is>
      </c>
      <c r="D78" s="2" t="inlineStr">
        <is>
          <t>QUICHE</t>
        </is>
      </c>
      <c r="E78" s="2" t="inlineStr">
        <is>
          <t>IXCAN</t>
        </is>
      </c>
      <c r="F78" s="2" t="inlineStr">
        <is>
          <t>LOTE 165 ZONA 1 PLAYA GRANDE IXCAN, QUICHE</t>
        </is>
      </c>
      <c r="G78" s="1">
        <f>TRIM(C78)</f>
        <v/>
      </c>
      <c r="H78" s="1">
        <f>VLOOKUP(C78,[1]Sheet1!$A$1:$D$188,2,FALSE)</f>
        <v/>
      </c>
      <c r="I78" t="n">
        <v>15.985582</v>
      </c>
      <c r="J78" t="n">
        <v>-90.784571</v>
      </c>
      <c r="K78" t="inlineStr">
        <is>
          <t>https://find.shell.com/gt/fuel/10131315-ss-playa-grande-ixcan/es_GT</t>
        </is>
      </c>
      <c r="L78" t="inlineStr">
        <is>
          <t>2026-10-05</t>
        </is>
      </c>
      <c r="M78" t="inlineStr">
        <is>
          <t>SS PLAYA GRANDE IXCAN</t>
        </is>
      </c>
    </row>
    <row r="79" ht="18" customHeight="1">
      <c r="A79" s="5" t="n"/>
      <c r="B79" s="5" t="n">
        <v>67</v>
      </c>
      <c r="C79" s="3" t="inlineStr">
        <is>
          <t>LAS PALMAS</t>
        </is>
      </c>
      <c r="D79" s="2" t="inlineStr">
        <is>
          <t>RETALHULEU</t>
        </is>
      </c>
      <c r="E79" s="2" t="inlineStr">
        <is>
          <t>RETALHULEU</t>
        </is>
      </c>
      <c r="F79" s="2" t="inlineStr">
        <is>
          <t>calzada las palmas zona 2, Retalhuleu, Retalhuleu</t>
        </is>
      </c>
      <c r="G79" s="1">
        <f>TRIM(C79)</f>
        <v/>
      </c>
      <c r="H79" s="1">
        <f>VLOOKUP(C79,[1]Sheet1!$A$1:$D$188,2,FALSE)</f>
        <v/>
      </c>
      <c r="I79" t="n">
        <v>14.543346</v>
      </c>
      <c r="J79" t="n">
        <v>-91.669276</v>
      </c>
      <c r="K79" t="inlineStr">
        <is>
          <t>https://find.shell.com/gt/fuel/10128299-ss-las-palmas-reu/es_GT</t>
        </is>
      </c>
      <c r="L79" t="inlineStr">
        <is>
          <t>2026-10-05</t>
        </is>
      </c>
      <c r="M79" t="inlineStr">
        <is>
          <t>SS LAS PALMAS REU</t>
        </is>
      </c>
    </row>
    <row r="80" ht="18" customHeight="1">
      <c r="A80" s="5" t="n"/>
      <c r="B80" s="5" t="n">
        <v>68</v>
      </c>
      <c r="C80" s="3" t="inlineStr">
        <is>
          <t>NAHUALA</t>
        </is>
      </c>
      <c r="D80" s="2" t="inlineStr">
        <is>
          <t>SOLOLA</t>
        </is>
      </c>
      <c r="E80" s="2" t="inlineStr">
        <is>
          <t>NAHUALA</t>
        </is>
      </c>
      <c r="F80" s="2" t="inlineStr">
        <is>
          <t>Entrada al canton Racantacaj, Nahuala, Solola</t>
        </is>
      </c>
      <c r="G80" s="1">
        <f>TRIM(C80)</f>
        <v/>
      </c>
      <c r="H80" s="1">
        <f>VLOOKUP(C80,[1]Sheet1!$A$1:$D$188,2,FALSE)</f>
        <v/>
      </c>
      <c r="I80" t="n">
        <v>14.838196</v>
      </c>
      <c r="J80" t="n">
        <v>-91.32738999999999</v>
      </c>
      <c r="K80" t="inlineStr">
        <is>
          <t>https://find.shell.com/gt/fuel/10128531-ss-nahuala/es_GT</t>
        </is>
      </c>
      <c r="L80" t="inlineStr">
        <is>
          <t>2026-10-05</t>
        </is>
      </c>
      <c r="M80" t="inlineStr">
        <is>
          <t>SS NAHUALA</t>
        </is>
      </c>
    </row>
    <row r="81" ht="18" customHeight="1">
      <c r="A81" s="5" t="n"/>
      <c r="B81" s="5" t="n">
        <v>69</v>
      </c>
      <c r="C81" s="3" t="inlineStr">
        <is>
          <t>GUADALUPE</t>
        </is>
      </c>
      <c r="D81" s="2" t="inlineStr">
        <is>
          <t>GUATEMALA</t>
        </is>
      </c>
      <c r="E81" s="2" t="inlineStr">
        <is>
          <t>GUATEMALA</t>
        </is>
      </c>
      <c r="F81" s="2" t="inlineStr">
        <is>
          <t>Diagonal 6, Boulevard Los Proceres zona 10, Guatemala</t>
        </is>
      </c>
      <c r="G81" s="1">
        <f>TRIM(C81)</f>
        <v/>
      </c>
      <c r="H81" s="1">
        <f>VLOOKUP(C81,[1]Sheet1!$A$1:$D$188,2,FALSE)</f>
        <v/>
      </c>
      <c r="I81" t="n">
        <v>14.589241</v>
      </c>
      <c r="J81" t="n">
        <v>-90.50314899999999</v>
      </c>
      <c r="K81" t="inlineStr">
        <is>
          <t>https://find.shell.com/gt/fuel/10128238-ss-guadalupe/es_GT</t>
        </is>
      </c>
      <c r="L81" t="inlineStr">
        <is>
          <t>2026-10-05</t>
        </is>
      </c>
      <c r="M81" t="inlineStr">
        <is>
          <t>SS GUADALUPE</t>
        </is>
      </c>
    </row>
    <row r="82" ht="18" customHeight="1">
      <c r="A82" s="5" t="n"/>
      <c r="B82" s="5" t="n">
        <v>70</v>
      </c>
      <c r="C82" s="3" t="inlineStr">
        <is>
          <t>SS COMBUSTIBLES DE LO ALTO SALCAJA</t>
        </is>
      </c>
      <c r="D82" s="2" t="inlineStr">
        <is>
          <t>QUETZALTENANGO</t>
        </is>
      </c>
      <c r="E82" s="2" t="inlineStr">
        <is>
          <t>SALCAJA</t>
        </is>
      </c>
      <c r="F82" s="2" t="inlineStr">
        <is>
          <t>3a. AVENIDA 4-539 ZONA 2, SALCAJÁ, QUETZALTENANGO.</t>
        </is>
      </c>
    </row>
    <row r="83" ht="18" customHeight="1">
      <c r="A83" s="5" t="n"/>
      <c r="B83" s="5" t="n">
        <v>71</v>
      </c>
      <c r="C83" s="3" t="inlineStr">
        <is>
          <t>SS MIGRANTE SALCAJA AG-RBA-FUE</t>
        </is>
      </c>
      <c r="D83" s="2" t="inlineStr">
        <is>
          <t>QUETZALTENANGO</t>
        </is>
      </c>
      <c r="E83" s="2" t="inlineStr">
        <is>
          <t>SALCAJA</t>
        </is>
      </c>
      <c r="F83" s="2" t="inlineStr">
        <is>
          <t>Km 190 Carretera Interamericana, Salcajá, Quetzaltenango</t>
        </is>
      </c>
      <c r="I83" t="n">
        <v>14.893117</v>
      </c>
      <c r="J83" t="n">
        <v>-91.455546</v>
      </c>
      <c r="K83" t="inlineStr">
        <is>
          <t>https://find.shell.com/gt/fuel/10128497-ss-migrante-salcaja/es_GT</t>
        </is>
      </c>
      <c r="L83" t="inlineStr">
        <is>
          <t>2026-10-05</t>
        </is>
      </c>
      <c r="M83" t="inlineStr">
        <is>
          <t>SS MIGRANTE SALCAJA</t>
        </is>
      </c>
    </row>
    <row r="84" ht="18" customHeight="1">
      <c r="A84" s="5" t="n"/>
      <c r="B84" s="5" t="n">
        <v>72</v>
      </c>
      <c r="C84" s="3" t="inlineStr">
        <is>
          <t>SS PERIFERICO XELA -AG-RBA- FUE</t>
        </is>
      </c>
      <c r="D84" s="2" t="inlineStr">
        <is>
          <t>QUETZALTENANGO</t>
        </is>
      </c>
      <c r="E84" s="2" t="inlineStr">
        <is>
          <t>QUETZALTENANGO</t>
        </is>
      </c>
      <c r="F84" s="2" t="inlineStr">
        <is>
          <t>10a. Calle "D" 1-77, Zona 8, Quetzaltenango, Quetzaltenango</t>
        </is>
      </c>
    </row>
    <row r="85" ht="18" customHeight="1">
      <c r="A85" s="5" t="n"/>
      <c r="B85" s="5" t="n">
        <v>73</v>
      </c>
      <c r="C85" s="3" t="inlineStr">
        <is>
          <t>SS SAN JUAN OSTUNCALCO AG-RBA-FUE</t>
        </is>
      </c>
      <c r="D85" s="2" t="inlineStr">
        <is>
          <t>QUETZALTENANGO</t>
        </is>
      </c>
      <c r="E85" s="2" t="inlineStr">
        <is>
          <t>SAN JUAN OSTUNCALCO</t>
        </is>
      </c>
      <c r="F85" s="2" t="inlineStr">
        <is>
          <t>Cantón Buena Vista, Kilometro 216.5 Carretera a San Marcos, San Juan Ostuncalco, Quetzaltenango</t>
        </is>
      </c>
      <c r="I85" t="n">
        <v>14.88363</v>
      </c>
      <c r="J85" t="n">
        <v>-91.62966900000001</v>
      </c>
      <c r="K85" t="inlineStr">
        <is>
          <t>https://find.shell.com/gt/fuel/10128466-ss-san-juan-ostuncalco/es_GT</t>
        </is>
      </c>
      <c r="L85" t="inlineStr">
        <is>
          <t>2026-10-05</t>
        </is>
      </c>
      <c r="M85" t="inlineStr">
        <is>
          <t>SS SAN JUAN OSTUNCALCO</t>
        </is>
      </c>
    </row>
    <row r="86" ht="18" customHeight="1">
      <c r="A86" s="5" t="n"/>
      <c r="B86" s="5" t="n">
        <v>74</v>
      </c>
      <c r="C86" s="3" t="inlineStr">
        <is>
          <t>SS La Campana</t>
        </is>
      </c>
      <c r="D86" s="2" t="inlineStr">
        <is>
          <t>JALAPA</t>
        </is>
      </c>
      <c r="E86" s="2" t="inlineStr">
        <is>
          <t>MONJAS</t>
        </is>
      </c>
      <c r="F86" s="2" t="inlineStr">
        <is>
          <t>km 345, la Campana Monjas Jalapa</t>
        </is>
      </c>
    </row>
    <row r="87" ht="18" customHeight="1">
      <c r="A87" s="5" t="n"/>
      <c r="B87" s="5" t="n">
        <v>75</v>
      </c>
      <c r="C87" s="3" t="inlineStr">
        <is>
          <t>SS San Jose Jutiapa</t>
        </is>
      </c>
      <c r="D87" s="2" t="inlineStr">
        <is>
          <t>JUTIAPA</t>
        </is>
      </c>
      <c r="E87" s="2" t="inlineStr">
        <is>
          <t>JUTIAPA</t>
        </is>
      </c>
      <c r="F87" s="2" t="inlineStr">
        <is>
          <t>KM 116.5 carretera Interamericana, Jutiapa Jutiapa</t>
        </is>
      </c>
      <c r="I87" t="n">
        <v>14.293789</v>
      </c>
      <c r="J87" t="n">
        <v>-89.9029</v>
      </c>
      <c r="K87" t="inlineStr">
        <is>
          <t>https://find.shell.com/gt/fuel/10131289-ss-san-jose-jutiapa/es_GT</t>
        </is>
      </c>
      <c r="L87" t="inlineStr">
        <is>
          <t>2026-10-05</t>
        </is>
      </c>
      <c r="M87" t="inlineStr">
        <is>
          <t>SS SAN JOSE JUTIAPA</t>
        </is>
      </c>
    </row>
    <row r="88" ht="18" customHeight="1">
      <c r="A88" s="5" t="n"/>
      <c r="B88" s="5" t="n">
        <v>76</v>
      </c>
      <c r="C88" s="3" t="inlineStr">
        <is>
          <t>SS JARDINES DE LAS CHARCAS -AG-RBA-FUE-</t>
        </is>
      </c>
      <c r="D88" s="2" t="inlineStr">
        <is>
          <t>GUATEMALA</t>
        </is>
      </c>
      <c r="E88" s="2" t="inlineStr">
        <is>
          <t>MIXCO</t>
        </is>
      </c>
      <c r="F88" s="2" t="inlineStr">
        <is>
          <t>8 ave. 8-33, zona 11</t>
        </is>
      </c>
    </row>
    <row r="89" ht="18" customHeight="1">
      <c r="A89" s="5" t="n"/>
      <c r="B89" s="5" t="n">
        <v>77</v>
      </c>
      <c r="C89" s="3" t="inlineStr">
        <is>
          <t>SS BOULEVARD SUR RBA</t>
        </is>
      </c>
      <c r="D89" s="2" t="inlineStr">
        <is>
          <t>GUATEMALA</t>
        </is>
      </c>
      <c r="E89" s="2" t="inlineStr">
        <is>
          <t>MIXCO</t>
        </is>
      </c>
      <c r="F89" s="2" t="inlineStr">
        <is>
          <t>6av. 29-31, Zona 8 Boulevar Sur San cristobal Mixco</t>
        </is>
      </c>
      <c r="I89" t="n">
        <v>14.564826</v>
      </c>
      <c r="J89" t="n">
        <v>-90.582382</v>
      </c>
      <c r="K89" t="inlineStr">
        <is>
          <t>https://find.shell.com/gt/fuel/10128486-ss-boulevard-sur/es_GT</t>
        </is>
      </c>
      <c r="L89" t="inlineStr">
        <is>
          <t>2026-10-05</t>
        </is>
      </c>
      <c r="M89" t="inlineStr">
        <is>
          <t>SS BOULEVARD SUR</t>
        </is>
      </c>
    </row>
    <row r="90" ht="18" customHeight="1">
      <c r="A90" s="5" t="n"/>
      <c r="B90" s="5" t="n">
        <v>78</v>
      </c>
      <c r="C90" s="3" t="inlineStr">
        <is>
          <t>SS LA ESPERANZA II AG RBA -BT FUE</t>
        </is>
      </c>
      <c r="D90" s="2" t="inlineStr">
        <is>
          <t>GUATEMALA</t>
        </is>
      </c>
      <c r="E90" s="2" t="inlineStr">
        <is>
          <t>GUATEMALA</t>
        </is>
      </c>
      <c r="F90" s="2" t="inlineStr">
        <is>
          <t>Km 14.5 Carretera al Pacifico</t>
        </is>
      </c>
      <c r="I90" t="n">
        <v>14.54112</v>
      </c>
      <c r="J90" t="n">
        <v>-90.584636</v>
      </c>
      <c r="K90" t="inlineStr">
        <is>
          <t>https://find.shell.com/gt/fuel/10128391-ss-la-esperanza-ii/es_GT</t>
        </is>
      </c>
      <c r="L90" t="inlineStr">
        <is>
          <t>2026-10-05</t>
        </is>
      </c>
      <c r="M90" t="inlineStr">
        <is>
          <t>SS LA ESPERANZA II</t>
        </is>
      </c>
    </row>
    <row r="91" ht="18" customHeight="1">
      <c r="A91" s="5" t="n"/>
      <c r="B91" s="5" t="n">
        <v>79</v>
      </c>
      <c r="C91" s="3" t="inlineStr">
        <is>
          <t>SS LAS CHARCAS AB RBA BT-FUE</t>
        </is>
      </c>
      <c r="D91" s="2" t="inlineStr">
        <is>
          <t>GUATEMALA</t>
        </is>
      </c>
      <c r="E91" s="2" t="inlineStr">
        <is>
          <t>GUATEMALA</t>
        </is>
      </c>
      <c r="F91" s="2" t="inlineStr">
        <is>
          <t>35 calle 11-07 zona 11</t>
        </is>
      </c>
      <c r="I91" t="n">
        <v>14.593437</v>
      </c>
      <c r="J91" t="n">
        <v>-90.566965</v>
      </c>
      <c r="K91" t="inlineStr">
        <is>
          <t>https://find.shell.com/gt/fuel/10128277-ss-las-charcas/es_GT</t>
        </is>
      </c>
      <c r="L91" t="inlineStr">
        <is>
          <t>2026-10-05</t>
        </is>
      </c>
      <c r="M91" t="inlineStr">
        <is>
          <t>SS LAS CHARCAS</t>
        </is>
      </c>
    </row>
    <row r="92" ht="18" customHeight="1">
      <c r="A92" s="5" t="n"/>
      <c r="B92" s="5" t="n">
        <v>80</v>
      </c>
      <c r="C92" s="3" t="inlineStr">
        <is>
          <t>SS CIUDAD REAL AG RBA -BT FUE-</t>
        </is>
      </c>
      <c r="D92" s="2" t="inlineStr">
        <is>
          <t>GUATEMALA</t>
        </is>
      </c>
      <c r="E92" s="2" t="inlineStr">
        <is>
          <t>GUATEMALA</t>
        </is>
      </c>
      <c r="F92" s="2" t="inlineStr">
        <is>
          <t>AV PETAPA 51-35 ZONA 12</t>
        </is>
      </c>
      <c r="I92" t="n">
        <v>14.560491</v>
      </c>
      <c r="J92" t="n">
        <v>-90.551104</v>
      </c>
      <c r="K92" t="inlineStr">
        <is>
          <t>https://find.shell.com/gt/fuel/10128335-ss-ciudad-real/es_GT</t>
        </is>
      </c>
      <c r="L92" t="inlineStr">
        <is>
          <t>2026-10-05</t>
        </is>
      </c>
      <c r="M92" t="inlineStr">
        <is>
          <t xml:space="preserve">SS CIUDAD REAL </t>
        </is>
      </c>
    </row>
    <row r="93" ht="18" customHeight="1">
      <c r="A93" s="5" t="n"/>
      <c r="B93" s="5" t="n">
        <v>81</v>
      </c>
      <c r="C93" s="3" t="inlineStr">
        <is>
          <t>SS PETAPA REFORMITA</t>
        </is>
      </c>
      <c r="D93" s="2" t="inlineStr">
        <is>
          <t>GUATEMALA</t>
        </is>
      </c>
      <c r="E93" s="2" t="inlineStr">
        <is>
          <t>GUATEMALA</t>
        </is>
      </c>
      <c r="F93" s="2" t="inlineStr">
        <is>
          <t>AVENIDA PETAPA 11-01 ZONA 12</t>
        </is>
      </c>
      <c r="I93" t="n">
        <v>14.60412</v>
      </c>
      <c r="J93" t="n">
        <v>-90.539655</v>
      </c>
      <c r="K93" t="inlineStr">
        <is>
          <t>https://find.shell.com/gt/fuel/10128288-ss-petapa-reformita/es_GT</t>
        </is>
      </c>
      <c r="L93" t="inlineStr">
        <is>
          <t>2026-10-05</t>
        </is>
      </c>
      <c r="M93" t="inlineStr">
        <is>
          <t>SS PETAPA REFORMITA</t>
        </is>
      </c>
    </row>
    <row r="94" ht="18" customHeight="1">
      <c r="A94" s="5" t="n"/>
      <c r="B94" s="5" t="n">
        <v>82</v>
      </c>
      <c r="C94" s="3" t="inlineStr">
        <is>
          <t>SS LA U AG RBA-BT FUE</t>
        </is>
      </c>
      <c r="D94" s="2" t="inlineStr">
        <is>
          <t>GUATEMALA</t>
        </is>
      </c>
      <c r="E94" s="2" t="inlineStr">
        <is>
          <t>GUATEMALA</t>
        </is>
      </c>
      <c r="F94" s="2" t="inlineStr">
        <is>
          <t>11 av 29-29, zona 12 Col Santa Rosa II</t>
        </is>
      </c>
      <c r="I94" t="n">
        <v>14.592559</v>
      </c>
      <c r="J94" t="n">
        <v>-90.550775</v>
      </c>
      <c r="K94" t="inlineStr">
        <is>
          <t>https://find.shell.com/gt/fuel/10128268-ss-la-u/es_GT</t>
        </is>
      </c>
      <c r="L94" t="inlineStr">
        <is>
          <t>2026-10-05</t>
        </is>
      </c>
      <c r="M94" t="inlineStr">
        <is>
          <t>SS LA U</t>
        </is>
      </c>
    </row>
    <row r="95" ht="18" customHeight="1">
      <c r="A95" s="5" t="n"/>
      <c r="B95" s="5" t="n">
        <v>83</v>
      </c>
      <c r="C95" s="3" t="inlineStr">
        <is>
          <t>SS JUSTO RUFINO -AG -RBA -FUE</t>
        </is>
      </c>
      <c r="D95" s="2" t="inlineStr">
        <is>
          <t>GUATEMALA</t>
        </is>
      </c>
      <c r="E95" s="2" t="inlineStr">
        <is>
          <t>GUATEMALA</t>
        </is>
      </c>
      <c r="F95" s="2" t="inlineStr">
        <is>
          <t>53 calle 25-16 zona 12, Guatemala</t>
        </is>
      </c>
      <c r="I95" t="n">
        <v>14.555833</v>
      </c>
      <c r="J95" t="n">
        <v>-90.547191</v>
      </c>
      <c r="K95" t="inlineStr">
        <is>
          <t>https://find.shell.com/gt/fuel/10128494-ss-justo-rufino/es_GT</t>
        </is>
      </c>
      <c r="L95" t="inlineStr">
        <is>
          <t>2026-10-05</t>
        </is>
      </c>
      <c r="M95" t="inlineStr">
        <is>
          <t>SS JUSTO RUFINO</t>
        </is>
      </c>
    </row>
    <row r="96" ht="18" customHeight="1">
      <c r="A96" s="5" t="n"/>
      <c r="B96" s="5" t="n">
        <v>84</v>
      </c>
      <c r="C96" s="3" t="inlineStr">
        <is>
          <t>SS CARMEL AG RBA -BT FUE-</t>
        </is>
      </c>
      <c r="D96" s="2" t="inlineStr">
        <is>
          <t>GUATEMALA</t>
        </is>
      </c>
      <c r="E96" s="2" t="inlineStr">
        <is>
          <t>GUATEMALA</t>
        </is>
      </c>
      <c r="F96" s="2" t="inlineStr">
        <is>
          <t>7 Avenida 5-64 Zona 4</t>
        </is>
      </c>
      <c r="I96" t="n">
        <v>14.617731</v>
      </c>
      <c r="J96" t="n">
        <v>-90.515951</v>
      </c>
      <c r="K96" t="inlineStr">
        <is>
          <t>https://find.shell.com/gt/fuel/10128236-ss-carmel/es_GT</t>
        </is>
      </c>
      <c r="L96" t="inlineStr">
        <is>
          <t>2026-10-05</t>
        </is>
      </c>
      <c r="M96" t="inlineStr">
        <is>
          <t>SS CARMEL</t>
        </is>
      </c>
    </row>
    <row r="97" ht="18" customHeight="1">
      <c r="A97" s="5" t="n"/>
      <c r="B97" s="5" t="n">
        <v>85</v>
      </c>
      <c r="C97" s="3" t="inlineStr">
        <is>
          <t>SS AMALIA AG RBA BT FUE</t>
        </is>
      </c>
      <c r="D97" s="2" t="inlineStr">
        <is>
          <t>GUATEMALA</t>
        </is>
      </c>
      <c r="E97" s="2" t="inlineStr">
        <is>
          <t>GUATEMALA</t>
        </is>
      </c>
      <c r="F97" s="2" t="inlineStr">
        <is>
          <t>45 C 4-00 Y 4-01, Z 5 CALZ LA PAZ</t>
        </is>
      </c>
      <c r="I97" t="n">
        <v>14.642729</v>
      </c>
      <c r="J97" t="n">
        <v>-90.48632600000001</v>
      </c>
      <c r="K97" t="inlineStr">
        <is>
          <t>https://find.shell.com/gt/fuel/10128377-ss-amalia/es_GT</t>
        </is>
      </c>
      <c r="L97" t="inlineStr">
        <is>
          <t>2026-10-05</t>
        </is>
      </c>
      <c r="M97" t="inlineStr">
        <is>
          <t>SS AMALIA</t>
        </is>
      </c>
    </row>
    <row r="98" ht="18" customHeight="1">
      <c r="A98" s="5" t="n"/>
      <c r="B98" s="5" t="n">
        <v>86</v>
      </c>
      <c r="C98" s="3" t="inlineStr">
        <is>
          <t>SS LOS PINABETES - AG-RBA -FUE</t>
        </is>
      </c>
      <c r="D98" s="2" t="inlineStr">
        <is>
          <t>GUATEMALA</t>
        </is>
      </c>
      <c r="E98" s="2" t="inlineStr">
        <is>
          <t>SAN JOSE PINULA</t>
        </is>
      </c>
      <c r="F98" s="2" t="inlineStr">
        <is>
          <t>Km 20.5 Carret San Jose Pinula, Aldea Santa Ines</t>
        </is>
      </c>
      <c r="I98" t="n">
        <v>14.546515</v>
      </c>
      <c r="J98" t="n">
        <v>-90.425202</v>
      </c>
      <c r="K98" t="inlineStr">
        <is>
          <t>https://find.shell.com/gt/fuel/10128341-ss-los-pinabetes/es_GT</t>
        </is>
      </c>
      <c r="L98" t="inlineStr">
        <is>
          <t>2026-10-05</t>
        </is>
      </c>
      <c r="M98" t="inlineStr">
        <is>
          <t>SS LOS PINABETES</t>
        </is>
      </c>
    </row>
    <row r="99" ht="18" customHeight="1">
      <c r="A99" s="5" t="n"/>
      <c r="B99" s="5" t="n">
        <v>87</v>
      </c>
      <c r="C99" s="3" t="inlineStr">
        <is>
          <t>SS VALLE DE FRAIJANES RBA -BT-FUE</t>
        </is>
      </c>
      <c r="D99" s="2" t="inlineStr">
        <is>
          <t>GUATEMALA</t>
        </is>
      </c>
      <c r="E99" s="2" t="inlineStr">
        <is>
          <t>FRAIJANES</t>
        </is>
      </c>
      <c r="F99" s="2" t="inlineStr">
        <is>
          <t>Km. 20.5 carretera a El Salvador</t>
        </is>
      </c>
      <c r="I99" t="n">
        <v>14.515562</v>
      </c>
      <c r="J99" t="n">
        <v>-90.47481000000001</v>
      </c>
      <c r="K99" t="inlineStr">
        <is>
          <t>https://find.shell.com/gt/fuel/10128432-ss-valle-de-fraijanes/es_GT</t>
        </is>
      </c>
      <c r="L99" t="inlineStr">
        <is>
          <t>2026-10-05</t>
        </is>
      </c>
      <c r="M99" t="inlineStr">
        <is>
          <t>SS VALLE DE FRAIJANES</t>
        </is>
      </c>
    </row>
    <row r="100" ht="18" customHeight="1">
      <c r="A100" s="5" t="n"/>
      <c r="B100" s="5" t="n">
        <v>88</v>
      </c>
      <c r="C100" s="3" t="inlineStr">
        <is>
          <t>SS CENTROAMERICA</t>
        </is>
      </c>
      <c r="D100" s="2" t="inlineStr">
        <is>
          <t>GUATEMALA</t>
        </is>
      </c>
      <c r="E100" s="2" t="inlineStr">
        <is>
          <t>FRAIJANES</t>
        </is>
      </c>
      <c r="F100" s="2" t="inlineStr">
        <is>
          <t>Km 17.2 Carretera a El Salvador</t>
        </is>
      </c>
      <c r="I100" t="n">
        <v>14.537071</v>
      </c>
      <c r="J100" t="n">
        <v>-90.457517</v>
      </c>
      <c r="K100" t="inlineStr">
        <is>
          <t>https://find.shell.com/gt/fuel/10128387-ss-centroamerica/es_GT</t>
        </is>
      </c>
      <c r="L100" t="inlineStr">
        <is>
          <t>2026-10-05</t>
        </is>
      </c>
      <c r="M100" t="inlineStr">
        <is>
          <t>SS CENTROAMERICA</t>
        </is>
      </c>
    </row>
    <row r="101" ht="18" customHeight="1">
      <c r="A101" s="5" t="n"/>
      <c r="B101" s="5" t="n">
        <v>89</v>
      </c>
      <c r="C101" s="3" t="inlineStr">
        <is>
          <t>SS Los Altos BT - FUE</t>
        </is>
      </c>
      <c r="D101" s="2" t="inlineStr">
        <is>
          <t>GUATEMALA</t>
        </is>
      </c>
      <c r="E101" s="2" t="inlineStr">
        <is>
          <t>SANTA CATARINA PINULA</t>
        </is>
      </c>
      <c r="F101" s="2" t="inlineStr">
        <is>
          <t>Km 13 Carret. Al Salvador,Santa Catarina Pinula.</t>
        </is>
      </c>
      <c r="I101" t="n">
        <v>14.566165</v>
      </c>
      <c r="J101" t="n">
        <v>-90.470443</v>
      </c>
      <c r="K101" t="inlineStr">
        <is>
          <t>https://find.shell.com/gt/fuel/10128239-ss-los-altos/es_GT</t>
        </is>
      </c>
      <c r="L101" t="inlineStr">
        <is>
          <t>2026-10-05</t>
        </is>
      </c>
      <c r="M101" t="inlineStr">
        <is>
          <t>SS LOS ALTOS</t>
        </is>
      </c>
    </row>
    <row r="102" ht="18" customHeight="1">
      <c r="A102" s="5" t="n"/>
      <c r="B102" s="5" t="n">
        <v>90</v>
      </c>
      <c r="C102" s="3" t="inlineStr">
        <is>
          <t>SS CELAJES</t>
        </is>
      </c>
      <c r="D102" s="2" t="inlineStr">
        <is>
          <t>GUATEMALA</t>
        </is>
      </c>
      <c r="E102" s="2" t="inlineStr">
        <is>
          <t>FRAIJANES</t>
        </is>
      </c>
      <c r="F102" s="2" t="inlineStr">
        <is>
          <t>Km. 24.5 carretera a El Salvador</t>
        </is>
      </c>
      <c r="I102" t="n">
        <v>14.480361</v>
      </c>
      <c r="J102" t="n">
        <v>-90.48603799999999</v>
      </c>
      <c r="K102" t="inlineStr">
        <is>
          <t>https://find.shell.com/gt/fuel/10128375-ss-celajes/es_GT</t>
        </is>
      </c>
      <c r="L102" t="inlineStr">
        <is>
          <t>2026-10-05</t>
        </is>
      </c>
      <c r="M102" t="inlineStr">
        <is>
          <t>SS CELAJES</t>
        </is>
      </c>
    </row>
    <row r="103" ht="18" customHeight="1">
      <c r="A103" s="5" t="n"/>
      <c r="B103" s="5" t="n">
        <v>91</v>
      </c>
      <c r="C103" s="3" t="inlineStr">
        <is>
          <t>SS ESTACION LA PAZ</t>
        </is>
      </c>
      <c r="D103" s="2" t="inlineStr">
        <is>
          <t>GUATEMALA</t>
        </is>
      </c>
      <c r="E103" s="2" t="inlineStr">
        <is>
          <t>GUATEMALA</t>
        </is>
      </c>
      <c r="F103" s="2" t="inlineStr">
        <is>
          <t>CALZ LA PAZ 12-00 Z 5</t>
        </is>
      </c>
      <c r="I103" t="n">
        <v>14.634066</v>
      </c>
      <c r="J103" t="n">
        <v>-90.48924</v>
      </c>
      <c r="K103" t="inlineStr">
        <is>
          <t>https://find.shell.com/gt/fuel/10128427-ss-la-paz/es_GT</t>
        </is>
      </c>
      <c r="L103" t="inlineStr">
        <is>
          <t>2026-10-05</t>
        </is>
      </c>
      <c r="M103" t="inlineStr">
        <is>
          <t>SS LA PAZ</t>
        </is>
      </c>
    </row>
    <row r="104" ht="18" customHeight="1">
      <c r="A104" s="5" t="n"/>
      <c r="B104" s="5" t="n">
        <v>92</v>
      </c>
      <c r="C104" s="3" t="inlineStr">
        <is>
          <t>FABULOSA</t>
        </is>
      </c>
      <c r="D104" s="2" t="inlineStr">
        <is>
          <t>ESCUINTLA</t>
        </is>
      </c>
      <c r="E104" s="2" t="inlineStr">
        <is>
          <t>ESCUINTLA</t>
        </is>
      </c>
      <c r="F104" s="2" t="inlineStr">
        <is>
          <t>AVENIDA 30 DE JUNIO, PUERTO DE SAN JOSE, SAN JOSE, ESCUINTLA</t>
        </is>
      </c>
    </row>
    <row r="105" ht="18" customHeight="1">
      <c r="A105" s="5" t="n"/>
      <c r="B105" s="5" t="n">
        <v>93</v>
      </c>
      <c r="C105" s="3" t="inlineStr">
        <is>
          <t>KM 145</t>
        </is>
      </c>
      <c r="D105" s="2" t="inlineStr">
        <is>
          <t>SUCHITEPEQUEZ</t>
        </is>
      </c>
      <c r="E105" s="2" t="inlineStr">
        <is>
          <t>MAZATENANGO</t>
        </is>
      </c>
      <c r="F105" s="2" t="inlineStr">
        <is>
          <t>KILOMETRO 145 CARRETERA CA-2, MUNICIPIO DE SAN ANTONIO SUCHITEPÉQUEZ, DEPARTAMENTO DE SUCHITEPÉQUEZ</t>
        </is>
      </c>
      <c r="I105" t="n">
        <v>14.50635</v>
      </c>
      <c r="J105" t="n">
        <v>-91.413985</v>
      </c>
      <c r="K105" t="inlineStr">
        <is>
          <t>https://find.shell.com/gt/fuel/10131317-ss-km-145/es_GT</t>
        </is>
      </c>
      <c r="L105" t="inlineStr">
        <is>
          <t>2026-10-05</t>
        </is>
      </c>
      <c r="M105" t="inlineStr">
        <is>
          <t>SS KM. 145</t>
        </is>
      </c>
    </row>
    <row r="106" ht="18" customHeight="1">
      <c r="A106" s="5" t="n"/>
      <c r="B106" s="5" t="n">
        <v>94</v>
      </c>
      <c r="C106" s="3" t="inlineStr">
        <is>
          <t>COCALES</t>
        </is>
      </c>
      <c r="D106" s="2" t="inlineStr">
        <is>
          <t>SUCHITEPEQUEZ</t>
        </is>
      </c>
      <c r="E106" s="2" t="inlineStr">
        <is>
          <t>SUCHITEPEQUEZ</t>
        </is>
      </c>
      <c r="F106" s="2" t="inlineStr">
        <is>
          <t>KILOMETRO 113, RUTA AL PACIFICO, ALDEA COCALES, PATULUL, SUCHITEPÉQUEZ</t>
        </is>
      </c>
      <c r="I106" t="n">
        <v>14.392086</v>
      </c>
      <c r="J106" t="n">
        <v>-91.193573</v>
      </c>
      <c r="K106" t="inlineStr">
        <is>
          <t>https://find.shell.com/gt/fuel/10128419-ss-cocales/es_GT</t>
        </is>
      </c>
      <c r="L106" t="inlineStr">
        <is>
          <t>2026-10-05</t>
        </is>
      </c>
      <c r="M106" t="inlineStr">
        <is>
          <t>SS COCALES</t>
        </is>
      </c>
    </row>
    <row r="107" ht="18" customHeight="1">
      <c r="A107" s="5" t="n"/>
      <c r="B107" s="5" t="n">
        <v>95</v>
      </c>
      <c r="C107" s="3" t="inlineStr">
        <is>
          <t>KM 149</t>
        </is>
      </c>
      <c r="D107" s="2" t="inlineStr">
        <is>
          <t>SUCHITEPEQUEZ</t>
        </is>
      </c>
      <c r="E107" s="2" t="inlineStr">
        <is>
          <t>SUCHITEPEQUEZ</t>
        </is>
      </c>
      <c r="F107" s="2" t="inlineStr">
        <is>
          <t>KILOMETRO 149 RUTA AL PACIFICO, MUNICIPIO DE SAN ANTONIO SUCHITÉQUEZ, DEPARTAMENTO DE SUCHITEPÉQUEZ</t>
        </is>
      </c>
    </row>
    <row r="108" ht="18" customHeight="1">
      <c r="A108" s="5" t="n"/>
      <c r="B108" s="5" t="n">
        <v>96</v>
      </c>
      <c r="C108" s="3" t="inlineStr">
        <is>
          <t>NAHUALATE</t>
        </is>
      </c>
      <c r="D108" s="2" t="inlineStr">
        <is>
          <t>SUCHITEPEQUEZ</t>
        </is>
      </c>
      <c r="E108" s="2" t="inlineStr">
        <is>
          <t>MAZATENANGO</t>
        </is>
      </c>
      <c r="F108" s="2" t="inlineStr">
        <is>
          <t>KILOMETRO 136 RUTA AL PACIFICO, ALDEA NAHUALATE, CHICACAO, SUCHITEPEQUEZ</t>
        </is>
      </c>
      <c r="I108" t="n">
        <v>14.442665</v>
      </c>
      <c r="J108" t="n">
        <v>-91.377585</v>
      </c>
      <c r="K108" t="inlineStr">
        <is>
          <t>https://find.shell.com/gt/fuel/10131297-ss-nahualate/es_GT</t>
        </is>
      </c>
      <c r="L108" t="inlineStr">
        <is>
          <t>2026-10-05</t>
        </is>
      </c>
      <c r="M108" t="inlineStr">
        <is>
          <t>SS NAHUALATE</t>
        </is>
      </c>
    </row>
    <row r="109" ht="18" customHeight="1">
      <c r="A109" s="5" t="n"/>
      <c r="B109" s="5" t="n">
        <v>97</v>
      </c>
      <c r="C109" s="3" t="inlineStr">
        <is>
          <t>SS BUENOS AIRES CHIANTLA</t>
        </is>
      </c>
      <c r="D109" s="2" t="inlineStr">
        <is>
          <t>HUEHUETENANGO</t>
        </is>
      </c>
      <c r="E109" s="2" t="inlineStr">
        <is>
          <t>HUEHUETENANGO</t>
        </is>
      </c>
      <c r="F109" s="2" t="inlineStr">
        <is>
          <t>COLONIA SAN VALENTIN, SEGUNDO CARRIZAL, ZONA 3, MUNICIPIO DE HUEHUETENANGO, HUEHUETENANGO</t>
        </is>
      </c>
      <c r="I109" t="n">
        <v>15.342635</v>
      </c>
      <c r="J109" t="n">
        <v>-91.454182</v>
      </c>
      <c r="K109" t="inlineStr">
        <is>
          <t>https://find.shell.com/gt/fuel/10131266-ss-buenos-aires-chiantla/es_GT</t>
        </is>
      </c>
      <c r="L109" t="inlineStr">
        <is>
          <t>2026-10-05</t>
        </is>
      </c>
      <c r="M109" t="inlineStr">
        <is>
          <t>SS BUENOS AIRES CHIANTLA</t>
        </is>
      </c>
    </row>
    <row r="110" ht="18" customHeight="1">
      <c r="A110" s="5" t="n"/>
      <c r="B110" s="5" t="n">
        <v>98</v>
      </c>
      <c r="C110" s="3" t="inlineStr">
        <is>
          <t>SS EL BOSQUE HUEHUETENANGO AGRBA-BT FUE-</t>
        </is>
      </c>
      <c r="D110" s="2" t="inlineStr">
        <is>
          <t>HUEHUETENANGO</t>
        </is>
      </c>
      <c r="E110" s="2" t="inlineStr">
        <is>
          <t>HUEHUETENANGO</t>
        </is>
      </c>
      <c r="F110" s="2" t="inlineStr">
        <is>
          <t>ZONA 5, CANTON SAN JOSE, MUNICIPIO DE VILLA HUEHUETENANGO, DEPARTAMENTO DE HUEHUETENAGO</t>
        </is>
      </c>
      <c r="I110" t="n">
        <v>15.312197</v>
      </c>
      <c r="J110" t="n">
        <v>-91.479833</v>
      </c>
      <c r="K110" t="inlineStr">
        <is>
          <t>https://find.shell.com/gt/fuel/10128254-ss-el-bosque-huehuetenango/es_GT</t>
        </is>
      </c>
      <c r="L110" t="inlineStr">
        <is>
          <t>2026-10-05</t>
        </is>
      </c>
      <c r="M110" t="inlineStr">
        <is>
          <t>SS EL BOSQUE HUEHUETENANGO</t>
        </is>
      </c>
    </row>
    <row r="111" ht="18" customHeight="1">
      <c r="A111" s="5" t="n"/>
      <c r="B111" s="5" t="n">
        <v>99</v>
      </c>
      <c r="C111" s="3" t="inlineStr">
        <is>
          <t>-SS GALICIA- -</t>
        </is>
      </c>
      <c r="D111" s="2" t="inlineStr">
        <is>
          <t>HUEHUETENANGO</t>
        </is>
      </c>
      <c r="E111" s="2" t="inlineStr">
        <is>
          <t>HUEHUETENANGO</t>
        </is>
      </c>
      <c r="F111" s="2" t="inlineStr">
        <is>
          <t>KM 258.4 CARRETERA A LA MESILLA CHIMUSINIQUE, ZONA 12, HUEHUETENANGO, HUEHUETENANGO</t>
        </is>
      </c>
      <c r="I111" t="n">
        <v>15.299516</v>
      </c>
      <c r="J111" t="n">
        <v>-91.503072</v>
      </c>
      <c r="K111" t="inlineStr">
        <is>
          <t>https://find.shell.com/gt/fuel/10128430-ss-galicia/es_GT</t>
        </is>
      </c>
      <c r="L111" t="inlineStr">
        <is>
          <t>2026-10-05</t>
        </is>
      </c>
      <c r="M111" t="inlineStr">
        <is>
          <t>SS GALICIA</t>
        </is>
      </c>
    </row>
    <row r="112" ht="18" customHeight="1">
      <c r="A112" s="5" t="n"/>
      <c r="B112" s="5" t="n">
        <v>100</v>
      </c>
      <c r="C112" s="3" t="inlineStr">
        <is>
          <t>SS HUEHUETENANGO-AG-RBA-FUE</t>
        </is>
      </c>
      <c r="D112" s="2" t="inlineStr">
        <is>
          <t>HUEHUETENANGO</t>
        </is>
      </c>
      <c r="E112" s="2" t="inlineStr">
        <is>
          <t>HUEHUETENANGO</t>
        </is>
      </c>
      <c r="F112" s="2" t="inlineStr">
        <is>
          <t>KM 255.5 CARRETERA INTERAMERICANA, ALDEA TOJOCAZ, HUEHUETENANGO</t>
        </is>
      </c>
      <c r="I112" t="n">
        <v>15.288788</v>
      </c>
      <c r="J112" t="n">
        <v>-91.4782</v>
      </c>
      <c r="K112" t="inlineStr">
        <is>
          <t>https://find.shell.com/gt/fuel/10128525-ss-huehuetenango/es_GT</t>
        </is>
      </c>
      <c r="L112" t="inlineStr">
        <is>
          <t>2026-10-05</t>
        </is>
      </c>
      <c r="M112" t="inlineStr">
        <is>
          <t>SS HUEHUETENANGO</t>
        </is>
      </c>
    </row>
    <row r="113" ht="18" customHeight="1">
      <c r="A113" s="5" t="n"/>
      <c r="B113" s="5" t="n">
        <v>101</v>
      </c>
      <c r="C113" s="3" t="inlineStr">
        <is>
          <t>SS LAS VICTORIAS HUEHUETENANGO -BT FUE</t>
        </is>
      </c>
      <c r="D113" s="2" t="inlineStr">
        <is>
          <t>HUEHUETENANGO</t>
        </is>
      </c>
      <c r="E113" s="2" t="inlineStr">
        <is>
          <t>HUEHUETENANGO</t>
        </is>
      </c>
      <c r="F113" s="2" t="inlineStr">
        <is>
          <t>KM 257.5 CAMBOTE ZONA 11, HUEHUETENANGO, HUEHUETENANGO</t>
        </is>
      </c>
    </row>
    <row r="114" ht="18" customHeight="1">
      <c r="A114" s="5" t="n"/>
      <c r="B114" s="5" t="n">
        <v>102</v>
      </c>
      <c r="C114" s="3" t="inlineStr">
        <is>
          <t>SS SAN LORENZO-AG-RBA-FUE</t>
        </is>
      </c>
      <c r="D114" s="2" t="inlineStr">
        <is>
          <t>HUEHUETENANGO</t>
        </is>
      </c>
      <c r="E114" s="2" t="inlineStr">
        <is>
          <t>HUEHUETENANGO</t>
        </is>
      </c>
      <c r="F114" s="2" t="inlineStr">
        <is>
          <t>ZONA 6 ALDEA JUMAJ, MUNICIPIO DE HUEHUETENANGO, DEPARTAMENTO DE HUEHUETENANGO</t>
        </is>
      </c>
      <c r="I114" t="n">
        <v>15.307723</v>
      </c>
      <c r="J114" t="n">
        <v>-91.468114</v>
      </c>
      <c r="K114" t="inlineStr">
        <is>
          <t>https://find.shell.com/gt/fuel/10131295-ss-san-lorenzo/es_GT</t>
        </is>
      </c>
      <c r="L114" t="inlineStr">
        <is>
          <t>2026-10-05</t>
        </is>
      </c>
      <c r="M114" t="inlineStr">
        <is>
          <t>SS SAN LORENZO</t>
        </is>
      </c>
    </row>
    <row r="115" ht="18" customHeight="1">
      <c r="A115" s="5" t="n"/>
      <c r="B115" s="5" t="n">
        <v>103</v>
      </c>
      <c r="C115" s="3" t="inlineStr">
        <is>
          <t>SS ARLETH SAN FRANCISCO -RBA-</t>
        </is>
      </c>
      <c r="D115" s="2" t="inlineStr">
        <is>
          <t>TOTONICAPÁN</t>
        </is>
      </c>
      <c r="E115" s="2" t="inlineStr">
        <is>
          <t>SAN FRANCISCO EL ALTO</t>
        </is>
      </c>
      <c r="F115" s="2" t="inlineStr">
        <is>
          <t>Paraje La Cruz Aldea tacajalve Km 192.5, Carretera Interamericana, San Francisco El Alto, Totonicapán</t>
        </is>
      </c>
      <c r="I115" t="n">
        <v>14.957368</v>
      </c>
      <c r="J115" t="n">
        <v>-91.46260100000001</v>
      </c>
      <c r="K115" t="inlineStr">
        <is>
          <t>https://find.shell.com/gt/fuel/10128529-ss-arleth-san-francisco/es_GT</t>
        </is>
      </c>
      <c r="L115" t="inlineStr">
        <is>
          <t>2026-10-05</t>
        </is>
      </c>
      <c r="M115" t="inlineStr">
        <is>
          <t>SS ARLETH SAN FRANCISCO</t>
        </is>
      </c>
    </row>
    <row r="116" ht="18" customHeight="1">
      <c r="A116" s="5" t="n"/>
      <c r="B116" s="5" t="n">
        <v>104</v>
      </c>
      <c r="C116" s="3" t="inlineStr">
        <is>
          <t>SS VILLA VALERIA</t>
        </is>
      </c>
      <c r="D116" s="2" t="inlineStr">
        <is>
          <t>TOTONICAPÁN</t>
        </is>
      </c>
      <c r="E116" s="2" t="inlineStr">
        <is>
          <t>TOTONICAPAN</t>
        </is>
      </c>
      <c r="F116" s="2" t="inlineStr">
        <is>
          <t>Final zona 3, salida a Totonicapan</t>
        </is>
      </c>
      <c r="I116" t="n">
        <v>15.032976</v>
      </c>
      <c r="J116" t="n">
        <v>-91.15916900000001</v>
      </c>
      <c r="K116" t="inlineStr">
        <is>
          <t>https://find.shell.com/gt/fuel/10128415-ss-villa-valeria/es_GT</t>
        </is>
      </c>
      <c r="L116" t="inlineStr">
        <is>
          <t>2026-10-05</t>
        </is>
      </c>
      <c r="M116" t="inlineStr">
        <is>
          <t>SS VILLA VALERIA</t>
        </is>
      </c>
    </row>
    <row r="117" ht="18" customHeight="1">
      <c r="A117" s="5" t="n"/>
      <c r="B117" s="5" t="n">
        <v>105</v>
      </c>
      <c r="C117" s="3" t="inlineStr">
        <is>
          <t>SS LAS MAGNOLIAS</t>
        </is>
      </c>
      <c r="D117" s="2" t="inlineStr">
        <is>
          <t>ALTA VERAPAZ</t>
        </is>
      </c>
      <c r="E117" s="2" t="inlineStr">
        <is>
          <t>TACTIC</t>
        </is>
      </c>
      <c r="F117" s="2" t="inlineStr">
        <is>
          <t>Km 183 Barrio Las Magnolias</t>
        </is>
      </c>
      <c r="I117" t="n">
        <v>15.318439</v>
      </c>
      <c r="J117" t="n">
        <v>-90.34335900000001</v>
      </c>
      <c r="K117" t="inlineStr">
        <is>
          <t>https://find.shell.com/gt/fuel/10128369-ss-las-magnolias/es_GT</t>
        </is>
      </c>
      <c r="L117" t="inlineStr">
        <is>
          <t>2026-10-05</t>
        </is>
      </c>
      <c r="M117" t="inlineStr">
        <is>
          <t>SS LAS MAGNOLIAS</t>
        </is>
      </c>
    </row>
    <row r="118" ht="18" customHeight="1">
      <c r="A118" s="5" t="n"/>
      <c r="B118" s="5" t="n">
        <v>106</v>
      </c>
      <c r="C118" s="3" t="inlineStr">
        <is>
          <t>SS NIÑO PERDIDO</t>
        </is>
      </c>
      <c r="D118" s="2" t="inlineStr">
        <is>
          <t>BAJA VERAPAZ</t>
        </is>
      </c>
      <c r="E118" s="2" t="inlineStr">
        <is>
          <t>SALAMA</t>
        </is>
      </c>
      <c r="F118" s="2" t="inlineStr">
        <is>
          <t>ALDEA NIÑO PERDIDO, MUNICIPIO DE SALAMA</t>
        </is>
      </c>
      <c r="I118" t="n">
        <v>15.142724</v>
      </c>
      <c r="J118" t="n">
        <v>-90.179025</v>
      </c>
      <c r="K118" t="inlineStr">
        <is>
          <t>https://find.shell.com/gt/fuel/10131334-ss-nino-perdido/es_GT</t>
        </is>
      </c>
      <c r="L118" t="inlineStr">
        <is>
          <t>2026-10-05</t>
        </is>
      </c>
      <c r="M118" t="inlineStr">
        <is>
          <t>SS NIÑO PERDIDO</t>
        </is>
      </c>
    </row>
    <row r="119" ht="18" customHeight="1">
      <c r="A119" s="5" t="n"/>
      <c r="B119" s="5" t="n">
        <v>107</v>
      </c>
      <c r="C119" s="3" t="inlineStr">
        <is>
          <t>SS SAN CRISTOBAL VERAPAZ</t>
        </is>
      </c>
      <c r="D119" s="2" t="inlineStr">
        <is>
          <t>ALTA VERAPAZ</t>
        </is>
      </c>
      <c r="E119" s="2" t="inlineStr">
        <is>
          <t>COBAN</t>
        </is>
      </c>
      <c r="F119" s="2" t="inlineStr">
        <is>
          <t>CANTON ORAM SAN CRISTOBAL VERAPAZ, ALTA VERAPAZ</t>
        </is>
      </c>
      <c r="I119" t="n">
        <v>15.369797</v>
      </c>
      <c r="J119" t="n">
        <v>-90.46702500000001</v>
      </c>
      <c r="K119" t="inlineStr">
        <is>
          <t>https://find.shell.com/gt/fuel/10131280-ss-san-cristobal-verapaz/es_GT</t>
        </is>
      </c>
      <c r="L119" t="inlineStr">
        <is>
          <t>2026-10-05</t>
        </is>
      </c>
      <c r="M119" t="inlineStr">
        <is>
          <t>SS SAN CRISTÓBAL VERAPAZ</t>
        </is>
      </c>
    </row>
    <row r="120" ht="18" customHeight="1">
      <c r="A120" s="5" t="n"/>
      <c r="B120" s="5" t="n">
        <v>108</v>
      </c>
      <c r="C120" s="3" t="inlineStr">
        <is>
          <t>Ciudad Quetzal</t>
        </is>
      </c>
      <c r="D120" s="2" t="inlineStr">
        <is>
          <t>GUATEMALA</t>
        </is>
      </c>
      <c r="E120" s="2" t="inlineStr">
        <is>
          <t>SAN JUAN SACATEPEQUEZ</t>
        </is>
      </c>
      <c r="F120" s="2" t="inlineStr">
        <is>
          <t>BOULEVARD PRINCIPAL LOTE 15 ZONA 10, SAN JUAN SACATEPEQUEZ, GUATEMALA</t>
        </is>
      </c>
      <c r="I120" t="n">
        <v>14.696837</v>
      </c>
      <c r="J120" t="n">
        <v>-90.57948399999999</v>
      </c>
      <c r="K120" t="inlineStr">
        <is>
          <t>https://find.shell.com/gt/fuel/10131319-ss-quetzal/es_GT</t>
        </is>
      </c>
      <c r="L120" t="inlineStr">
        <is>
          <t>2026-10-05</t>
        </is>
      </c>
      <c r="M120" t="inlineStr">
        <is>
          <t>SS QUETZAL</t>
        </is>
      </c>
    </row>
    <row r="121" ht="18" customHeight="1">
      <c r="A121" s="5" t="n"/>
      <c r="B121" s="5" t="n">
        <v>109</v>
      </c>
      <c r="C121" s="3" t="inlineStr">
        <is>
          <t>Mirador Quetzal</t>
        </is>
      </c>
      <c r="D121" s="2" t="inlineStr">
        <is>
          <t>GUATEMALA</t>
        </is>
      </c>
      <c r="E121" s="2" t="inlineStr">
        <is>
          <t>SAN JUAN SACATEPEQUEZ</t>
        </is>
      </c>
      <c r="F121" s="2" t="inlineStr">
        <is>
          <t>COLONIA ARCADIAS 2 CARRETERA CARRANZA, LOTRE 1-A, ZONA 3, MUNICIPIO DE DAN JUAN SACATEPEQUEZ, DEPARTAMENTO DE GUATEMALA</t>
        </is>
      </c>
    </row>
    <row r="122" ht="18" customHeight="1">
      <c r="A122" s="5" t="n"/>
      <c r="B122" s="5" t="n">
        <v>110</v>
      </c>
      <c r="C122" s="3" t="inlineStr">
        <is>
          <t>Mateo Flores</t>
        </is>
      </c>
      <c r="D122" s="2" t="inlineStr">
        <is>
          <t>GUATEMALA</t>
        </is>
      </c>
      <c r="E122" s="2" t="inlineStr">
        <is>
          <t>MIXCO</t>
        </is>
      </c>
      <c r="F122" s="2" t="inlineStr">
        <is>
          <t>5 AVENIDA 12-80, ZONA 3, COLONIA EL ROSARIO, MIXCO, GUATEMALA</t>
        </is>
      </c>
      <c r="I122" t="n">
        <v>14.63698</v>
      </c>
      <c r="J122" t="n">
        <v>-90.584712</v>
      </c>
      <c r="K122" t="inlineStr">
        <is>
          <t>https://find.shell.com/gt/fuel/10131279-ss-mateo-flores/es_GT</t>
        </is>
      </c>
      <c r="L122" t="inlineStr">
        <is>
          <t>2026-10-05</t>
        </is>
      </c>
      <c r="M122" t="inlineStr">
        <is>
          <t>SS MATEO FLORES</t>
        </is>
      </c>
    </row>
    <row r="123" ht="18" customHeight="1">
      <c r="A123" s="5" t="n"/>
      <c r="B123" s="5" t="n">
        <v>111</v>
      </c>
      <c r="C123" s="3" t="inlineStr">
        <is>
          <t>SS LAS FLORES II -BT FUE</t>
        </is>
      </c>
      <c r="D123" s="2" t="inlineStr">
        <is>
          <t>GUATEMALA</t>
        </is>
      </c>
      <c r="E123" s="2" t="inlineStr">
        <is>
          <t>MIXCO</t>
        </is>
      </c>
      <c r="F123" s="2" t="inlineStr">
        <is>
          <t>CALZADA ROOSEVELT 2-51 ZONA 3, COLONIA COTIO, MUNICIPIO DE MIXCO, DEPARTAMENTO DE GUATEMALA</t>
        </is>
      </c>
    </row>
    <row r="124" ht="18" customHeight="1">
      <c r="A124" s="5" t="n"/>
      <c r="B124" s="5" t="n">
        <v>112</v>
      </c>
      <c r="C124" s="3" t="inlineStr">
        <is>
          <t>SS LAS MAJADAS AG RBA -BT FUE</t>
        </is>
      </c>
      <c r="D124" s="2" t="inlineStr">
        <is>
          <t>GUATEMALA</t>
        </is>
      </c>
      <c r="E124" s="2" t="inlineStr">
        <is>
          <t>GUATEMALA</t>
        </is>
      </c>
      <c r="F124" s="2" t="inlineStr">
        <is>
          <t>ANILLO PERIFERICO 30 AVENIDA ZONA 11, GUATEMALA, GUATEMALA</t>
        </is>
      </c>
      <c r="I124" t="n">
        <v>14.622413</v>
      </c>
      <c r="J124" t="n">
        <v>-90.558538</v>
      </c>
      <c r="K124" t="inlineStr">
        <is>
          <t>https://find.shell.com/gt/fuel/10128289-ss-las-majadas/es_GT</t>
        </is>
      </c>
      <c r="L124" t="inlineStr">
        <is>
          <t>2026-10-05</t>
        </is>
      </c>
      <c r="M124" t="inlineStr">
        <is>
          <t>SS LAS MAJADAS</t>
        </is>
      </c>
    </row>
    <row r="125" ht="18" customHeight="1">
      <c r="A125" s="5" t="n"/>
      <c r="B125" s="5" t="n">
        <v>113</v>
      </c>
      <c r="C125" s="3" t="inlineStr">
        <is>
          <t>SS PLAZA FLORIDA AG RBA -BT FUE</t>
        </is>
      </c>
      <c r="D125" s="2" t="inlineStr">
        <is>
          <t>GUATEMALA</t>
        </is>
      </c>
      <c r="E125" s="2" t="inlineStr">
        <is>
          <t>MIXCO</t>
        </is>
      </c>
      <c r="F125" s="2" t="inlineStr">
        <is>
          <t>CALZADA SAN JUAN KILOMETRO 11.5 GUATEMALA, GUATEMALA</t>
        </is>
      </c>
      <c r="I125" t="n">
        <v>14.649624</v>
      </c>
      <c r="J125" t="n">
        <v>-90.58276600000001</v>
      </c>
      <c r="K125" t="inlineStr">
        <is>
          <t>https://find.shell.com/gt/fuel/10128255-ss-plaza-florida/es_GT</t>
        </is>
      </c>
      <c r="L125" t="inlineStr">
        <is>
          <t>2026-10-05</t>
        </is>
      </c>
      <c r="M125" t="inlineStr">
        <is>
          <t xml:space="preserve">SS PLAZA FLORIDA </t>
        </is>
      </c>
    </row>
    <row r="126" ht="18" customHeight="1">
      <c r="A126" s="5" t="n"/>
      <c r="B126" s="5" t="n">
        <v>114</v>
      </c>
      <c r="C126" s="3" t="inlineStr">
        <is>
          <t>SS SAN JUAN SAC</t>
        </is>
      </c>
      <c r="D126" s="2" t="inlineStr">
        <is>
          <t>Guatemala</t>
        </is>
      </c>
      <c r="E126" s="2" t="inlineStr">
        <is>
          <t>San Juan Sacatepequez</t>
        </is>
      </c>
      <c r="F126" s="2" t="inlineStr">
        <is>
          <t>KILOMETRO 30.5 CARRETAERA A SAN JUAN SACATEPEQUEZ, MUNICIPIO DE SAN JUAN SACATEPEQUEX, DEPARTAMENTO DE GUATEMALA</t>
        </is>
      </c>
    </row>
    <row r="127" ht="18" customHeight="1">
      <c r="A127" s="5" t="n"/>
      <c r="B127" s="5" t="n">
        <v>115</v>
      </c>
      <c r="C127" s="3" t="inlineStr">
        <is>
          <t>SS SAN LUCAS - AGENCIA RBA BT-FUE</t>
        </is>
      </c>
      <c r="D127" s="2" t="inlineStr">
        <is>
          <t>Sacatepequez</t>
        </is>
      </c>
      <c r="E127" s="2" t="inlineStr">
        <is>
          <t>San Lucas</t>
        </is>
      </c>
      <c r="F127" s="2" t="inlineStr">
        <is>
          <t>KILOMETRO 29.5 CARRETERA INTERAMERICANA, SAN LUCAS SACATEPEQUEZ, SACATEPEQUEZ</t>
        </is>
      </c>
      <c r="I127" t="n">
        <v>14.608642</v>
      </c>
      <c r="J127" t="n">
        <v>-90.662707</v>
      </c>
      <c r="K127" t="inlineStr">
        <is>
          <t>https://find.shell.com/gt/fuel/10131185-ss-san-lucas-ii/es_GT</t>
        </is>
      </c>
      <c r="L127" t="inlineStr">
        <is>
          <t>2026-10-05</t>
        </is>
      </c>
      <c r="M127" t="inlineStr">
        <is>
          <t>SS SAN LUCAS II</t>
        </is>
      </c>
    </row>
    <row r="128" ht="18" customHeight="1">
      <c r="A128" s="5" t="n"/>
      <c r="B128" s="5" t="n">
        <v>116</v>
      </c>
      <c r="C128" s="3" t="inlineStr">
        <is>
          <t>SS SUMPANGO -AG-RBA- FUE</t>
        </is>
      </c>
      <c r="D128" s="2" t="inlineStr">
        <is>
          <t>Chimaltenango</t>
        </is>
      </c>
      <c r="E128" s="2" t="inlineStr">
        <is>
          <t>Sumpango</t>
        </is>
      </c>
      <c r="F128" s="2" t="inlineStr">
        <is>
          <t>ENTRADA PRINCIPAL KM 42.3, SUMPANGO, 04 ZONA 4, SUMPANGO SACATEPEQUEZ</t>
        </is>
      </c>
      <c r="I128" t="n">
        <v>14.650538</v>
      </c>
      <c r="J128" t="n">
        <v>-90.732404</v>
      </c>
      <c r="K128" t="inlineStr">
        <is>
          <t>https://find.shell.com/gt/fuel/10128364-ss-sumpango/es_GT</t>
        </is>
      </c>
      <c r="L128" t="inlineStr">
        <is>
          <t>2026-10-05</t>
        </is>
      </c>
      <c r="M128" t="inlineStr">
        <is>
          <t>SS SUMPANGO</t>
        </is>
      </c>
    </row>
    <row r="129" ht="18" customHeight="1">
      <c r="A129" s="5" t="n"/>
      <c r="B129" s="5" t="n">
        <v>117</v>
      </c>
      <c r="C129" s="3" t="inlineStr">
        <is>
          <t>SS-ECSA-EL CAMINERO - AG-RBA-FUE</t>
        </is>
      </c>
      <c r="D129" s="2" t="inlineStr">
        <is>
          <t>GUATEMALA</t>
        </is>
      </c>
      <c r="E129" s="2" t="inlineStr">
        <is>
          <t>MIXCO</t>
        </is>
      </c>
      <c r="F129" s="2" t="inlineStr">
        <is>
          <t>BOULEVARD EL CAMINERO 7-15 ZONA 6 MIXCO, GUATEMALA</t>
        </is>
      </c>
      <c r="I129" t="n">
        <v>14.657892</v>
      </c>
      <c r="J129" t="n">
        <v>-90.58956000000001</v>
      </c>
      <c r="K129" t="inlineStr">
        <is>
          <t>https://find.shell.com/gt/fuel/10128292-ss-el-caminero/es_GT</t>
        </is>
      </c>
      <c r="L129" t="inlineStr">
        <is>
          <t>2026-10-05</t>
        </is>
      </c>
      <c r="M129" t="inlineStr">
        <is>
          <t>SS EL CAMINERO</t>
        </is>
      </c>
    </row>
    <row r="130" ht="18" customHeight="1">
      <c r="A130" s="5" t="n"/>
      <c r="B130" s="5" t="n">
        <v>118</v>
      </c>
      <c r="C130" s="3" t="inlineStr">
        <is>
          <t>SS TARA- AG-RBA-FUE-</t>
        </is>
      </c>
      <c r="D130" s="2" t="inlineStr">
        <is>
          <t>GUATEMALA</t>
        </is>
      </c>
      <c r="E130" s="2" t="inlineStr">
        <is>
          <t>MIXCO</t>
        </is>
      </c>
      <c r="F130" s="2" t="inlineStr">
        <is>
          <t>KILOMETRO 16.5 CARRETERA A SAN JUAN SACATEPEQUEZ, ZONA 6 MIXCO, GUATEMALA</t>
        </is>
      </c>
      <c r="I130" t="n">
        <v>14.655101</v>
      </c>
      <c r="J130" t="n">
        <v>-90.597734</v>
      </c>
      <c r="K130" t="inlineStr">
        <is>
          <t>https://find.shell.com/gt/fuel/10128471-ss-tara/es_GT</t>
        </is>
      </c>
      <c r="L130" t="inlineStr">
        <is>
          <t>2026-10-05</t>
        </is>
      </c>
      <c r="M130" t="inlineStr">
        <is>
          <t>SS TARA</t>
        </is>
      </c>
    </row>
    <row r="131" ht="18" customHeight="1">
      <c r="A131" s="5" t="n"/>
      <c r="B131" s="5" t="n">
        <v>119</v>
      </c>
      <c r="C131" s="3" t="inlineStr">
        <is>
          <t>SS SANTA APOLONIA -FUE-</t>
        </is>
      </c>
      <c r="D131" s="2" t="inlineStr">
        <is>
          <t>CHIMALTENANGO</t>
        </is>
      </c>
      <c r="E131" s="2" t="inlineStr">
        <is>
          <t>TECPAN</t>
        </is>
      </c>
      <c r="F131" s="2" t="inlineStr">
        <is>
          <t>CALLE PRINCIPAL ALDEA XETZAC ZONA 0, TECPAN GUATEMALA</t>
        </is>
      </c>
      <c r="I131" t="n">
        <v>14.783869</v>
      </c>
      <c r="J131" t="n">
        <v>-90.98200799999999</v>
      </c>
      <c r="K131" t="inlineStr">
        <is>
          <t>https://find.shell.com/gt/fuel/10128520-ss-santa-apolonia/es_GT</t>
        </is>
      </c>
      <c r="L131" t="inlineStr">
        <is>
          <t>2026-10-05</t>
        </is>
      </c>
      <c r="M131" t="inlineStr">
        <is>
          <t>SS SANTA APOLONIA</t>
        </is>
      </c>
    </row>
    <row r="132" ht="18" customHeight="1">
      <c r="A132" s="5" t="n"/>
      <c r="B132" s="5" t="n">
        <v>120</v>
      </c>
      <c r="C132" s="3" t="inlineStr">
        <is>
          <t>SS La Castellana</t>
        </is>
      </c>
      <c r="D132" s="2" t="inlineStr">
        <is>
          <t>GUATEMALA</t>
        </is>
      </c>
      <c r="E132" s="2" t="inlineStr">
        <is>
          <t>GUATEMALA</t>
        </is>
      </c>
      <c r="F132" s="2" t="inlineStr">
        <is>
          <t>Avenida La Castellana 41-16 zona 8 Guatemala</t>
        </is>
      </c>
      <c r="I132" t="n">
        <v>14.605586</v>
      </c>
      <c r="J132" t="n">
        <v>-90.527996</v>
      </c>
      <c r="K132" t="inlineStr">
        <is>
          <t>https://find.shell.com/gt/fuel/10128246-ss-la-castellana/es_GT</t>
        </is>
      </c>
      <c r="L132" t="inlineStr">
        <is>
          <t>2026-10-05</t>
        </is>
      </c>
      <c r="M132" t="inlineStr">
        <is>
          <t>SS LA CASTELLANA</t>
        </is>
      </c>
    </row>
    <row r="133" ht="18" customHeight="1">
      <c r="A133" s="5" t="n"/>
      <c r="B133" s="5" t="n">
        <v>121</v>
      </c>
      <c r="C133" s="3" t="inlineStr">
        <is>
          <t>SS El Frutal II</t>
        </is>
      </c>
      <c r="D133" s="2" t="inlineStr">
        <is>
          <t>GUATEMALA</t>
        </is>
      </c>
      <c r="E133" s="2" t="inlineStr">
        <is>
          <t>VILLA NUEVA</t>
        </is>
      </c>
      <c r="F133" s="2" t="inlineStr">
        <is>
          <t>12 Avenida Zona 5 Villa Nueva</t>
        </is>
      </c>
      <c r="I133" t="n">
        <v>14.522376</v>
      </c>
      <c r="J133" t="n">
        <v>-90.563214</v>
      </c>
      <c r="K133" t="inlineStr">
        <is>
          <t>https://find.shell.com/gt/fuel/10128425-ss-el-frutal-ii/es_GT</t>
        </is>
      </c>
      <c r="L133" t="inlineStr">
        <is>
          <t>2026-10-05</t>
        </is>
      </c>
      <c r="M133" t="inlineStr">
        <is>
          <t>SS EL FRUTAl II</t>
        </is>
      </c>
    </row>
    <row r="134" ht="18" customHeight="1">
      <c r="A134" s="5" t="n"/>
      <c r="B134" s="5" t="n">
        <v>122</v>
      </c>
      <c r="C134" s="3" t="inlineStr">
        <is>
          <t>SS Belarsa</t>
        </is>
      </c>
      <c r="D134" s="2" t="inlineStr">
        <is>
          <t>GUATEMALA</t>
        </is>
      </c>
      <c r="E134" s="2" t="inlineStr">
        <is>
          <t>SAN MIGUEL PETAPA</t>
        </is>
      </c>
      <c r="F134" s="2" t="inlineStr">
        <is>
          <t>Calle Real 3-98 Zona 10 San Miguel Petapa</t>
        </is>
      </c>
      <c r="I134" t="n">
        <v>14.503275</v>
      </c>
      <c r="J134" t="n">
        <v>-90.56476499999999</v>
      </c>
      <c r="K134" t="inlineStr">
        <is>
          <t>https://find.shell.com/gt/fuel/10128514-ss-belarsa/es_GT</t>
        </is>
      </c>
      <c r="L134" t="inlineStr">
        <is>
          <t>2026-10-05</t>
        </is>
      </c>
      <c r="M134" t="inlineStr">
        <is>
          <t>SS BELARSA</t>
        </is>
      </c>
    </row>
    <row r="135" ht="18" customHeight="1">
      <c r="A135" s="5" t="n"/>
      <c r="B135" s="5" t="n">
        <v>123</v>
      </c>
      <c r="C135" s="3" t="inlineStr">
        <is>
          <t>SS Los Planes</t>
        </is>
      </c>
      <c r="D135" s="2" t="inlineStr">
        <is>
          <t>Guatemala</t>
        </is>
      </c>
      <c r="E135" s="2" t="inlineStr">
        <is>
          <t>Villa Nueva</t>
        </is>
      </c>
      <c r="F135" s="2" t="inlineStr">
        <is>
          <t>1 Calle 6-91 Colonia Los Planes Zona 5 Villa Nueva</t>
        </is>
      </c>
    </row>
    <row r="136" ht="18" customHeight="1">
      <c r="A136" s="5" t="n"/>
      <c r="B136" s="5" t="n">
        <v>124</v>
      </c>
      <c r="C136" s="3" t="inlineStr">
        <is>
          <t>SS San Miguel Petapa</t>
        </is>
      </c>
      <c r="D136" s="2" t="inlineStr">
        <is>
          <t>GUATEMALA</t>
        </is>
      </c>
      <c r="E136" s="2" t="inlineStr">
        <is>
          <t>SAN MIGUEL PETAPA</t>
        </is>
      </c>
      <c r="F136" s="2" t="inlineStr">
        <is>
          <t>03 calle 06-09 Zona 3 San Miguel Petapa</t>
        </is>
      </c>
      <c r="I136" t="n">
        <v>14.490562</v>
      </c>
      <c r="J136" t="n">
        <v>-90.55052999999999</v>
      </c>
      <c r="K136" t="inlineStr">
        <is>
          <t>https://find.shell.com/gt/fuel/10128460-ss-san-miguel-petapa/es_GT</t>
        </is>
      </c>
      <c r="L136" t="inlineStr">
        <is>
          <t>2026-10-05</t>
        </is>
      </c>
      <c r="M136" t="inlineStr">
        <is>
          <t>SS SAN MIGUEL PETAPA</t>
        </is>
      </c>
    </row>
    <row r="137" ht="18" customHeight="1">
      <c r="A137" s="5" t="n"/>
      <c r="B137" s="5" t="n">
        <v>125</v>
      </c>
      <c r="C137" s="3" t="inlineStr">
        <is>
          <t>SS La Vueltona</t>
        </is>
      </c>
      <c r="D137" s="2" t="inlineStr">
        <is>
          <t>GUATEMALA</t>
        </is>
      </c>
      <c r="E137" s="2" t="inlineStr">
        <is>
          <t>VILLA CANALES</t>
        </is>
      </c>
      <c r="F137" s="2" t="inlineStr">
        <is>
          <t>1 Ave "A" 6-90 zona 1 Aldea Boca Del Monte Villa Canales</t>
        </is>
      </c>
      <c r="I137" t="n">
        <v>14.54443</v>
      </c>
      <c r="J137" t="n">
        <v>-90.527599</v>
      </c>
      <c r="K137" t="inlineStr">
        <is>
          <t>https://find.shell.com/gt/fuel/10131254-ss-la-vueltona/es_GT</t>
        </is>
      </c>
      <c r="L137" t="inlineStr">
        <is>
          <t>2026-10-05</t>
        </is>
      </c>
      <c r="M137" t="inlineStr">
        <is>
          <t>SS LA VUELTONA</t>
        </is>
      </c>
    </row>
    <row r="138" ht="18" customHeight="1">
      <c r="A138" s="5" t="n"/>
      <c r="B138" s="5" t="n">
        <v>126</v>
      </c>
      <c r="C138" s="3" t="inlineStr">
        <is>
          <t>SS La Concha Villa Nueva</t>
        </is>
      </c>
      <c r="D138" s="2" t="inlineStr">
        <is>
          <t>GUATEMALA</t>
        </is>
      </c>
      <c r="E138" s="2" t="inlineStr">
        <is>
          <t>VILLA NUEVA</t>
        </is>
      </c>
      <c r="F138" s="2" t="inlineStr">
        <is>
          <t>16 avenida 3-45 zona 4 apartamento A, Villa Nueva</t>
        </is>
      </c>
      <c r="I138" t="n">
        <v>14.51155</v>
      </c>
      <c r="J138" t="n">
        <v>-90.579382</v>
      </c>
      <c r="K138" t="inlineStr">
        <is>
          <t>https://find.shell.com/gt/fuel/10131322-ss-la-concha-villa-nueva/es_GT</t>
        </is>
      </c>
      <c r="L138" t="inlineStr">
        <is>
          <t>2026-10-05</t>
        </is>
      </c>
      <c r="M138" t="inlineStr">
        <is>
          <t>SS LA CONCHA VILLA NUEVA</t>
        </is>
      </c>
    </row>
    <row r="139" ht="18" customHeight="1">
      <c r="A139" s="5" t="n"/>
      <c r="B139" s="5" t="n">
        <v>127</v>
      </c>
      <c r="C139" s="3" t="inlineStr">
        <is>
          <t>SS Oakland</t>
        </is>
      </c>
      <c r="D139" s="2" t="inlineStr">
        <is>
          <t>GUATEMALA</t>
        </is>
      </c>
      <c r="E139" s="2" t="inlineStr">
        <is>
          <t>GUATEMALA</t>
        </is>
      </c>
      <c r="F139" s="2" t="inlineStr">
        <is>
          <t>Diagonal 6, 13-50 zona 10, Colonia La Villa, Guatemala</t>
        </is>
      </c>
      <c r="I139" t="n">
        <v>14.593889</v>
      </c>
      <c r="J139" t="n">
        <v>-90.50528300000001</v>
      </c>
      <c r="K139" t="inlineStr">
        <is>
          <t>https://find.shell.com/gt/fuel/10131306-ss-oakland/es_GT</t>
        </is>
      </c>
      <c r="L139" t="inlineStr">
        <is>
          <t>2026-10-05</t>
        </is>
      </c>
      <c r="M139" t="inlineStr">
        <is>
          <t>SS OAKLAND</t>
        </is>
      </c>
    </row>
    <row r="140" ht="18" customHeight="1">
      <c r="A140" s="5" t="n"/>
      <c r="B140" s="5" t="n">
        <v>128</v>
      </c>
      <c r="C140" s="3" t="inlineStr">
        <is>
          <t>SS Los Reformadores</t>
        </is>
      </c>
      <c r="D140" s="2" t="inlineStr">
        <is>
          <t>GUATEMALA</t>
        </is>
      </c>
      <c r="E140" s="2" t="inlineStr">
        <is>
          <t>VILLA NUEVA</t>
        </is>
      </c>
      <c r="F140" s="2" t="inlineStr">
        <is>
          <t>2ª Av. “A” 2-70, Lote 123, Colonia Venecia, Los Reformadores. VN</t>
        </is>
      </c>
      <c r="I140" t="n">
        <v>14.516169</v>
      </c>
      <c r="J140" t="n">
        <v>-90.59143400000001</v>
      </c>
      <c r="K140" t="inlineStr">
        <is>
          <t>https://find.shell.com/gt/fuel/10131264-ss-los-reformadores/es_GT</t>
        </is>
      </c>
      <c r="L140" t="inlineStr">
        <is>
          <t>2026-10-05</t>
        </is>
      </c>
      <c r="M140" t="inlineStr">
        <is>
          <t>SS LOS REFORMADORES</t>
        </is>
      </c>
    </row>
    <row r="141" ht="18" customHeight="1">
      <c r="A141" s="5" t="n"/>
      <c r="B141" s="5" t="n">
        <v>129</v>
      </c>
      <c r="C141" s="3" t="inlineStr">
        <is>
          <t>SS PIEDRA PARADA</t>
        </is>
      </c>
      <c r="D141" s="2" t="inlineStr">
        <is>
          <t>GUATEMALA</t>
        </is>
      </c>
      <c r="E141" s="2" t="inlineStr">
        <is>
          <t>SANTA CATARINA PINULA</t>
        </is>
      </c>
      <c r="F141" s="2" t="inlineStr">
        <is>
          <t>calle principal lote 9 A, sector 1, zona 6, Piedra Parada, El Rosario</t>
        </is>
      </c>
      <c r="I141" t="n">
        <v>14.584835</v>
      </c>
      <c r="J141" t="n">
        <v>-90.448751</v>
      </c>
      <c r="K141" t="inlineStr">
        <is>
          <t>https://find.shell.com/gt/fuel/10131172-ss-piedra-parada/es_GT</t>
        </is>
      </c>
      <c r="L141" t="inlineStr">
        <is>
          <t>2026-10-05</t>
        </is>
      </c>
      <c r="M141" t="inlineStr">
        <is>
          <t>SS PIEDRA PARADA</t>
        </is>
      </c>
    </row>
    <row r="142" ht="18" customHeight="1">
      <c r="A142" s="5" t="n"/>
      <c r="B142" s="5" t="n">
        <v>130</v>
      </c>
      <c r="C142" s="3" t="inlineStr">
        <is>
          <t>SS SANARATE</t>
        </is>
      </c>
      <c r="D142" s="2" t="inlineStr">
        <is>
          <t>El Progreso</t>
        </is>
      </c>
      <c r="E142" s="2" t="inlineStr">
        <is>
          <t>Sanarate</t>
        </is>
      </c>
      <c r="F142" s="2" t="inlineStr">
        <is>
          <t>Zona 0 Ave. Central 8335-010, Sanarate</t>
        </is>
      </c>
      <c r="I142" t="n">
        <v>14.803889</v>
      </c>
      <c r="J142" t="n">
        <v>-90.191588</v>
      </c>
      <c r="K142" t="inlineStr">
        <is>
          <t>https://find.shell.com/gt/fuel/10128408-ss-sanarate/es_GT</t>
        </is>
      </c>
      <c r="L142" t="inlineStr">
        <is>
          <t>2026-10-05</t>
        </is>
      </c>
      <c r="M142" t="inlineStr">
        <is>
          <t>SS SANARATE</t>
        </is>
      </c>
    </row>
    <row r="143" ht="18" customHeight="1">
      <c r="A143" s="5" t="n"/>
      <c r="B143" s="5" t="n">
        <v>131</v>
      </c>
      <c r="C143" s="3" t="inlineStr">
        <is>
          <t>SS SAN RAMON II AG RBA BT-FUE</t>
        </is>
      </c>
      <c r="D143" s="2" t="inlineStr">
        <is>
          <t>El Progreso</t>
        </is>
      </c>
      <c r="E143" s="2" t="inlineStr">
        <is>
          <t>Sanarate</t>
        </is>
      </c>
      <c r="F143" s="2" t="inlineStr">
        <is>
          <t>Km. 52.5 Carretera al Atlantico, Entrada a Sanarate</t>
        </is>
      </c>
      <c r="I143" t="n">
        <v>14.796428</v>
      </c>
      <c r="J143" t="n">
        <v>-90.214429</v>
      </c>
      <c r="K143" t="inlineStr">
        <is>
          <t>https://find.shell.com/gt/fuel/10128250-ss-san-ramon/es_GT</t>
        </is>
      </c>
      <c r="L143" t="inlineStr">
        <is>
          <t>2026-10-05</t>
        </is>
      </c>
      <c r="M143" t="inlineStr">
        <is>
          <t>SS SAN RAMON</t>
        </is>
      </c>
    </row>
    <row r="144" ht="18" customHeight="1">
      <c r="A144" s="5" t="n"/>
      <c r="B144" s="5" t="n">
        <v>132</v>
      </c>
      <c r="C144" s="3" t="inlineStr">
        <is>
          <t>SS LAS BRISAS/GUATEMALA</t>
        </is>
      </c>
      <c r="D144" s="2" t="inlineStr">
        <is>
          <t>GUATEMALA</t>
        </is>
      </c>
      <c r="E144" s="2" t="inlineStr">
        <is>
          <t>GUATEMALA</t>
        </is>
      </c>
      <c r="F144" s="2" t="inlineStr">
        <is>
          <t>11 avenida 14-01 zona 1</t>
        </is>
      </c>
    </row>
    <row r="145" ht="18" customHeight="1">
      <c r="A145" s="5" t="n"/>
      <c r="B145" s="5" t="n">
        <v>133</v>
      </c>
      <c r="C145" s="3" t="inlineStr">
        <is>
          <t>SS-LA LAGUNA- AG-RBA-FUE-</t>
        </is>
      </c>
      <c r="D145" s="2" t="inlineStr">
        <is>
          <t>GUATEMALA</t>
        </is>
      </c>
      <c r="E145" s="2" t="inlineStr">
        <is>
          <t>GUATEMALA</t>
        </is>
      </c>
      <c r="F145" s="2" t="inlineStr">
        <is>
          <t>12 calle 02-21 Zona 18, San Rafael La Laguna, Municipio de Guatemala Departamento dd Guatemala</t>
        </is>
      </c>
    </row>
    <row r="146" ht="18" customHeight="1">
      <c r="A146" s="5" t="n"/>
      <c r="B146" s="5" t="n">
        <v>134</v>
      </c>
      <c r="C146" s="3" t="inlineStr">
        <is>
          <t>SS LA SEXTA</t>
        </is>
      </c>
      <c r="D146" s="2" t="inlineStr">
        <is>
          <t>GUATEMALA</t>
        </is>
      </c>
      <c r="E146" s="2" t="inlineStr">
        <is>
          <t>GUATEMALA</t>
        </is>
      </c>
      <c r="F146" s="2" t="inlineStr">
        <is>
          <t>6 Avenida Zona 4</t>
        </is>
      </c>
      <c r="I146" t="n">
        <v>14.620762</v>
      </c>
      <c r="J146" t="n">
        <v>-90.517044</v>
      </c>
      <c r="K146" t="inlineStr">
        <is>
          <t>https://find.shell.com/gt/fuel/10128317-ss-la-sexta/es_GT</t>
        </is>
      </c>
      <c r="L146" t="inlineStr">
        <is>
          <t>2026-10-05</t>
        </is>
      </c>
      <c r="M146" t="inlineStr">
        <is>
          <t>SS LA SEXTA</t>
        </is>
      </c>
    </row>
    <row r="147" ht="18" customHeight="1">
      <c r="A147" s="5" t="n"/>
      <c r="B147" s="5" t="n">
        <v>135</v>
      </c>
      <c r="C147" s="3" t="inlineStr">
        <is>
          <t>SS JARDINES DE LA ASUNCION -BT FUE-</t>
        </is>
      </c>
      <c r="D147" s="2" t="inlineStr">
        <is>
          <t>GUATEMALA</t>
        </is>
      </c>
      <c r="E147" s="2" t="inlineStr">
        <is>
          <t>GUATEMALA</t>
        </is>
      </c>
      <c r="F147" s="2" t="inlineStr">
        <is>
          <t>Diagonal 14 20-01 zona 5</t>
        </is>
      </c>
      <c r="I147" t="n">
        <v>14.626594</v>
      </c>
      <c r="J147" t="n">
        <v>-90.495634</v>
      </c>
      <c r="K147" t="inlineStr">
        <is>
          <t>https://find.shell.com/gt/fuel/10128403-ss-jardines-de-la-asuncion/es_GT</t>
        </is>
      </c>
      <c r="L147" t="inlineStr">
        <is>
          <t>2026-10-05</t>
        </is>
      </c>
      <c r="M147" t="inlineStr">
        <is>
          <t>SS JARDINES DE LA ASUNCION</t>
        </is>
      </c>
    </row>
    <row r="148" ht="18" customHeight="1">
      <c r="A148" s="5" t="n"/>
      <c r="B148" s="5" t="n">
        <v>136</v>
      </c>
      <c r="C148" s="3" t="inlineStr">
        <is>
          <t>SS SAN NICOLAS II</t>
        </is>
      </c>
      <c r="D148" s="2" t="inlineStr">
        <is>
          <t>GUATEMALA</t>
        </is>
      </c>
      <c r="E148" s="2" t="inlineStr">
        <is>
          <t>MIXCO</t>
        </is>
      </c>
      <c r="F148" s="2" t="inlineStr">
        <is>
          <t>7ª calle 29-85 zona 4 Colonia El Naranjo, Mixco, Guatemala</t>
        </is>
      </c>
      <c r="I148" t="n">
        <v>14.660552</v>
      </c>
      <c r="J148" t="n">
        <v>-90.562333</v>
      </c>
      <c r="K148" t="inlineStr">
        <is>
          <t>https://find.shell.com/gt/fuel/10131311-ss-san-nicolas-ii/es_GT</t>
        </is>
      </c>
      <c r="L148" t="inlineStr">
        <is>
          <t>2026-10-05</t>
        </is>
      </c>
      <c r="M148" t="inlineStr">
        <is>
          <t>SS SAN NICOLAS II</t>
        </is>
      </c>
    </row>
    <row r="149" ht="18" customHeight="1">
      <c r="A149" s="5" t="n"/>
      <c r="B149" s="5" t="n">
        <v>137</v>
      </c>
      <c r="C149" s="3" t="inlineStr">
        <is>
          <t>Km. 13</t>
        </is>
      </c>
      <c r="D149" s="2" t="inlineStr">
        <is>
          <t>GUATEMALA</t>
        </is>
      </c>
      <c r="E149" s="2" t="inlineStr">
        <is>
          <t>GUATEMALA</t>
        </is>
      </c>
      <c r="F149" s="2" t="inlineStr">
        <is>
          <t>CA-9 Norte ruta al Atlantico 41-75 colonia San Rafael Castro zona 25 Guatemala, Guatemala.</t>
        </is>
      </c>
      <c r="I149" t="n">
        <v>14.66765</v>
      </c>
      <c r="J149" t="n">
        <v>-90.418335</v>
      </c>
      <c r="K149" t="inlineStr">
        <is>
          <t>https://find.shell.com/gt/fuel/10131308-ss-km-13/es_GT</t>
        </is>
      </c>
      <c r="L149" t="inlineStr">
        <is>
          <t>2026-10-05</t>
        </is>
      </c>
      <c r="M149" t="inlineStr">
        <is>
          <t>SS KM 13</t>
        </is>
      </c>
    </row>
    <row r="150" ht="18" customHeight="1">
      <c r="A150" s="5" t="n"/>
      <c r="B150" s="5" t="n">
        <v>138</v>
      </c>
      <c r="C150" s="3" t="inlineStr">
        <is>
          <t>SS PALMERA OIL</t>
        </is>
      </c>
      <c r="D150" s="2" t="inlineStr">
        <is>
          <t>ESCUINTLA</t>
        </is>
      </c>
      <c r="E150" s="2" t="inlineStr">
        <is>
          <t>ESCUINTLA</t>
        </is>
      </c>
      <c r="F150" s="2" t="inlineStr">
        <is>
          <t>Kilometro 56.5 Carretera a Escuintla</t>
        </is>
      </c>
      <c r="I150" t="n">
        <v>14.31165</v>
      </c>
      <c r="J150" t="n">
        <v>-90.778696</v>
      </c>
      <c r="K150" t="inlineStr">
        <is>
          <t>https://find.shell.com/gt/fuel/10128424-ss-palmera-oil/es_GT</t>
        </is>
      </c>
      <c r="L150" t="inlineStr">
        <is>
          <t>2026-10-05</t>
        </is>
      </c>
      <c r="M150" t="inlineStr">
        <is>
          <t>SS PALMERA OIL</t>
        </is>
      </c>
    </row>
    <row r="151" ht="18" customHeight="1">
      <c r="A151" s="5" t="n"/>
      <c r="B151" s="5" t="n">
        <v>139</v>
      </c>
      <c r="C151" s="3" t="inlineStr">
        <is>
          <t>SS CEMENTERIO ESCUINTLA</t>
        </is>
      </c>
      <c r="D151" s="2" t="inlineStr">
        <is>
          <t>ESCUINTLA</t>
        </is>
      </c>
      <c r="E151" s="2" t="inlineStr">
        <is>
          <t>ESCUINTLA</t>
        </is>
      </c>
      <c r="F151" s="2" t="inlineStr">
        <is>
          <t>carretera al puerto km 59.5 zona 0, Escuintla, Escuintla</t>
        </is>
      </c>
      <c r="I151" t="n">
        <v>14.285179</v>
      </c>
      <c r="J151" t="n">
        <v>-90.786288</v>
      </c>
      <c r="K151" t="inlineStr">
        <is>
          <t>https://find.shell.com/gt/fuel/10131276-ss-cementerio-escuintla/es_GT</t>
        </is>
      </c>
      <c r="L151" t="inlineStr">
        <is>
          <t>2026-10-05</t>
        </is>
      </c>
      <c r="M151" t="inlineStr">
        <is>
          <t>SS CEMENTERIO ESCUINTLA</t>
        </is>
      </c>
    </row>
    <row r="152" ht="18" customHeight="1">
      <c r="A152" s="5" t="n"/>
      <c r="B152" s="5" t="n">
        <v>140</v>
      </c>
      <c r="C152" s="3" t="inlineStr">
        <is>
          <t>SS ZACAPA BARRIO MODERNO RBA</t>
        </is>
      </c>
      <c r="D152" s="2" t="inlineStr">
        <is>
          <t>ZACAPA</t>
        </is>
      </c>
      <c r="E152" s="2" t="inlineStr">
        <is>
          <t>ZACAPA</t>
        </is>
      </c>
      <c r="F152" s="2" t="inlineStr">
        <is>
          <t>4TA CALLE 9-04 ZONA 2 BARRIO SAN MARCOS, ZACAPA, ZACAPA</t>
        </is>
      </c>
    </row>
    <row r="153" ht="18" customHeight="1">
      <c r="A153" s="5" t="n"/>
      <c r="B153" s="5" t="n">
        <v>141</v>
      </c>
      <c r="C153" s="3" t="inlineStr">
        <is>
          <t>SS SANSAYO -AG - RBA - FUE</t>
        </is>
      </c>
      <c r="D153" s="2" t="inlineStr">
        <is>
          <t>JALAPA</t>
        </is>
      </c>
      <c r="E153" s="2" t="inlineStr">
        <is>
          <t>JALAPA</t>
        </is>
      </c>
      <c r="F153" s="2" t="inlineStr">
        <is>
          <t>ruta nacional 18, salida a sanpedro pinula, jalapa</t>
        </is>
      </c>
    </row>
    <row r="154" ht="18" customHeight="1">
      <c r="A154" s="5" t="n"/>
      <c r="B154" s="5" t="n">
        <v>142</v>
      </c>
      <c r="C154" s="3" t="inlineStr">
        <is>
          <t>SS TRIANGULO JALAPA</t>
        </is>
      </c>
      <c r="D154" s="2" t="inlineStr">
        <is>
          <t>JALAPA</t>
        </is>
      </c>
      <c r="E154" s="2" t="inlineStr">
        <is>
          <t>JALAPA</t>
        </is>
      </c>
      <c r="F154" s="2" t="inlineStr">
        <is>
          <t>Aldea el tierrero, municipio de Jalapa Ingreso a Jalapa</t>
        </is>
      </c>
      <c r="I154" t="n">
        <v>14.651311</v>
      </c>
      <c r="J154" t="n">
        <v>-89.999758</v>
      </c>
      <c r="K154" t="inlineStr">
        <is>
          <t>https://find.shell.com/gt/fuel/10131313-ss-triangulo-jalapa/es_GT</t>
        </is>
      </c>
      <c r="L154" t="inlineStr">
        <is>
          <t>2026-10-05</t>
        </is>
      </c>
      <c r="M154" t="inlineStr">
        <is>
          <t>SS TRIANGULO JALAPA</t>
        </is>
      </c>
    </row>
    <row r="155" ht="18" customHeight="1">
      <c r="A155" s="5" t="n"/>
      <c r="B155" s="5" t="n">
        <v>143</v>
      </c>
      <c r="C155" s="3" t="inlineStr">
        <is>
          <t>SS LA ESTANCIA</t>
        </is>
      </c>
      <c r="D155" s="2" t="inlineStr">
        <is>
          <t>SUCHITEPEQUEZ</t>
        </is>
      </c>
      <c r="E155" s="2" t="inlineStr">
        <is>
          <t>MAZATENANGO</t>
        </is>
      </c>
      <c r="F155" s="2" t="inlineStr">
        <is>
          <t>Km 158, Salida a Guatemala, Ruta CA Guión 2, Mazatenango, Suchitepequez</t>
        </is>
      </c>
      <c r="I155" t="n">
        <v>14.534594</v>
      </c>
      <c r="J155" t="n">
        <v>-91.49660299999999</v>
      </c>
      <c r="K155" t="inlineStr">
        <is>
          <t>https://find.shell.com/gt/fuel/10128325-ss-la-estancia/es_GT</t>
        </is>
      </c>
      <c r="L155" t="inlineStr">
        <is>
          <t>2026-10-05</t>
        </is>
      </c>
      <c r="M155" t="inlineStr">
        <is>
          <t>SS LA ESTANCIA</t>
        </is>
      </c>
    </row>
    <row r="156" ht="18" customHeight="1">
      <c r="A156" s="5" t="n"/>
      <c r="B156" s="5" t="n">
        <v>144</v>
      </c>
      <c r="C156" s="3" t="inlineStr">
        <is>
          <t>SS SAN BERNARDINO - AG-RBA-FUE</t>
        </is>
      </c>
      <c r="D156" s="2" t="inlineStr">
        <is>
          <t>SUCHITEPEQUEZ</t>
        </is>
      </c>
      <c r="E156" s="2" t="inlineStr">
        <is>
          <t>MAZATENANGO</t>
        </is>
      </c>
      <c r="F156" s="2" t="inlineStr">
        <is>
          <t>KM 152.5 SAN BERNARDINO SUCHITEPEQUEZ</t>
        </is>
      </c>
      <c r="I156" t="n">
        <v>14.543963</v>
      </c>
      <c r="J156" t="n">
        <v>-91.452804</v>
      </c>
      <c r="K156" t="inlineStr">
        <is>
          <t>https://find.shell.com/gt/fuel/10128513-ss-san-bernardino/es_GT</t>
        </is>
      </c>
      <c r="L156" t="inlineStr">
        <is>
          <t>2026-10-05</t>
        </is>
      </c>
      <c r="M156" t="inlineStr">
        <is>
          <t>SS SAN BERNARDINO</t>
        </is>
      </c>
    </row>
    <row r="157" ht="18" customHeight="1">
      <c r="A157" s="5" t="n"/>
      <c r="B157" s="5" t="n">
        <v>145</v>
      </c>
      <c r="C157" s="3" t="inlineStr">
        <is>
          <t>SS CENTRO LA MAQUINA</t>
        </is>
      </c>
      <c r="D157" s="2" t="inlineStr">
        <is>
          <t>SUCHITEPEQUEZ</t>
        </is>
      </c>
      <c r="E157" t="inlineStr">
        <is>
          <t>CUYOTENANGO</t>
        </is>
      </c>
      <c r="F157" s="2" t="inlineStr">
        <is>
          <t>San Jose la Maquina, Zona 0 Calle Principal 10420, Gas</t>
        </is>
      </c>
    </row>
    <row r="158" ht="18" customHeight="1">
      <c r="A158" s="5" t="n"/>
      <c r="B158" s="5" t="n">
        <v>146</v>
      </c>
      <c r="C158" s="3" t="inlineStr">
        <is>
          <t>SS CHITALON</t>
        </is>
      </c>
      <c r="D158" s="2" t="inlineStr">
        <is>
          <t>SUCHITEPEQUEZ</t>
        </is>
      </c>
      <c r="E158" s="2" t="inlineStr">
        <is>
          <t>MAZATENANGO</t>
        </is>
      </c>
      <c r="F158" s="2" t="inlineStr">
        <is>
          <t>CA-2KM 164 MUNICIPIO DE MAZATENANGO DEPARTAMENTO DE SUCHITEPEQUEZ</t>
        </is>
      </c>
      <c r="I158" t="n">
        <v>14.536575</v>
      </c>
      <c r="J158" t="n">
        <v>-91.532563</v>
      </c>
      <c r="K158" t="inlineStr">
        <is>
          <t>https://find.shell.com/gt/fuel/10131283-ss-chitalon/es_GT</t>
        </is>
      </c>
      <c r="L158" t="inlineStr">
        <is>
          <t>2026-10-05</t>
        </is>
      </c>
      <c r="M158" t="inlineStr">
        <is>
          <t>SS CHITALON</t>
        </is>
      </c>
    </row>
    <row r="159" ht="18" customHeight="1">
      <c r="A159" s="5" t="n"/>
      <c r="B159" s="5" t="n">
        <v>147</v>
      </c>
      <c r="C159" s="3" t="inlineStr">
        <is>
          <t>SS NORTE II</t>
        </is>
      </c>
      <c r="D159" s="2" t="inlineStr">
        <is>
          <t>GUATEMALA</t>
        </is>
      </c>
      <c r="E159" s="2" t="inlineStr">
        <is>
          <t>GUATEMALA</t>
        </is>
      </c>
      <c r="F159" s="2" t="inlineStr">
        <is>
          <t>km. 6.5 Carretera al Atlantico, 21-50 Z. 18 Guatemala</t>
        </is>
      </c>
      <c r="I159" t="n">
        <v>14.655907</v>
      </c>
      <c r="J159" t="n">
        <v>-90.469425</v>
      </c>
      <c r="K159" t="inlineStr">
        <is>
          <t>https://find.shell.com/gt/fuel/10128301-ss-norte-ii/es_GT</t>
        </is>
      </c>
      <c r="L159" t="inlineStr">
        <is>
          <t>2026-10-05</t>
        </is>
      </c>
      <c r="M159" t="inlineStr">
        <is>
          <t>SS NORTE II</t>
        </is>
      </c>
    </row>
    <row r="160" ht="18" customHeight="1">
      <c r="A160" s="5" t="n"/>
      <c r="B160" s="5" t="n">
        <v>148</v>
      </c>
      <c r="C160" s="3" t="inlineStr">
        <is>
          <t>SS LA TORRE</t>
        </is>
      </c>
      <c r="D160" s="2" t="inlineStr">
        <is>
          <t>GUATEMALA</t>
        </is>
      </c>
      <c r="E160" s="2" t="inlineStr">
        <is>
          <t>GUATEMALA</t>
        </is>
      </c>
      <c r="F160" s="2" t="inlineStr">
        <is>
          <t>7 Avenida 2-06 Zona 9</t>
        </is>
      </c>
      <c r="I160" t="n">
        <v>14.612813</v>
      </c>
      <c r="J160" t="n">
        <v>-90.51691700000001</v>
      </c>
      <c r="K160" t="inlineStr">
        <is>
          <t>https://find.shell.com/gt/fuel/10128333-ss-la-torre/es_GT</t>
        </is>
      </c>
      <c r="L160" t="inlineStr">
        <is>
          <t>2026-10-05</t>
        </is>
      </c>
      <c r="M160" t="inlineStr">
        <is>
          <t>SS LA TORRE</t>
        </is>
      </c>
    </row>
    <row r="161" ht="18" customHeight="1">
      <c r="A161" s="5" t="n"/>
      <c r="B161" s="5" t="n">
        <v>149</v>
      </c>
      <c r="C161" s="3" t="inlineStr">
        <is>
          <t>SS LAS CHARCAS</t>
        </is>
      </c>
      <c r="D161" s="2" t="inlineStr">
        <is>
          <t>GUATEMALA</t>
        </is>
      </c>
      <c r="E161" s="2" t="inlineStr">
        <is>
          <t>GUATEMALA</t>
        </is>
      </c>
      <c r="F161" s="2" t="inlineStr">
        <is>
          <t>35 calle 11-07 zona 11</t>
        </is>
      </c>
      <c r="I161" t="n">
        <v>14.593437</v>
      </c>
      <c r="J161" t="n">
        <v>-90.566965</v>
      </c>
      <c r="K161" t="inlineStr">
        <is>
          <t>https://find.shell.com/gt/fuel/10128277-ss-las-charcas/es_GT</t>
        </is>
      </c>
      <c r="L161" t="inlineStr">
        <is>
          <t>2026-10-05</t>
        </is>
      </c>
      <c r="M161" t="inlineStr">
        <is>
          <t>SS LAS CHARCAS</t>
        </is>
      </c>
    </row>
    <row r="162" ht="18" customHeight="1">
      <c r="A162" s="5" t="n"/>
      <c r="B162" s="5" t="n">
        <v>150</v>
      </c>
      <c r="C162" s="3" t="inlineStr">
        <is>
          <t>SS ROOSEVELT</t>
        </is>
      </c>
      <c r="D162" s="2" t="inlineStr">
        <is>
          <t>GUATEMALA</t>
        </is>
      </c>
      <c r="E162" s="2" t="inlineStr">
        <is>
          <t>GUATEMALA</t>
        </is>
      </c>
      <c r="F162" s="2" t="inlineStr">
        <is>
          <t>Calzada Roosevelt 39-30 zona 7 Guatemala</t>
        </is>
      </c>
      <c r="I162" t="n">
        <v>14.633868</v>
      </c>
      <c r="J162" t="n">
        <v>-90.571326</v>
      </c>
      <c r="K162" t="inlineStr">
        <is>
          <t>https://find.shell.com/gt/fuel/10128308-ss-roosevelt/es_GT</t>
        </is>
      </c>
      <c r="L162" t="inlineStr">
        <is>
          <t>2026-10-05</t>
        </is>
      </c>
      <c r="M162" t="inlineStr">
        <is>
          <t>SS ROOSEVELT</t>
        </is>
      </c>
    </row>
    <row r="163" ht="16.5" customHeight="1">
      <c r="A163" s="3" t="n"/>
      <c r="B163" s="5" t="n">
        <v>151</v>
      </c>
      <c r="C163" s="3" t="inlineStr">
        <is>
          <t>SS CANDELARIA</t>
        </is>
      </c>
      <c r="D163" s="3" t="inlineStr">
        <is>
          <t>GUATEMALA</t>
        </is>
      </c>
      <c r="E163" s="3" t="inlineStr">
        <is>
          <t>SAN JUAN SACATEPEQUEZ</t>
        </is>
      </c>
      <c r="F163" s="3" t="inlineStr">
        <is>
          <t>Kilómetro 32.87 Ruta a San Raymundo,</t>
        </is>
      </c>
      <c r="I163" t="n">
        <v>14.728264</v>
      </c>
      <c r="J163" t="n">
        <v>-90.64398</v>
      </c>
      <c r="K163" t="inlineStr">
        <is>
          <t>https://find.shell.com/gt/fuel/10128511-ss-candelaria/es_GT</t>
        </is>
      </c>
      <c r="L163" t="inlineStr">
        <is>
          <t>2026-10-05</t>
        </is>
      </c>
      <c r="M163" t="inlineStr">
        <is>
          <t>SS CANDELARIA</t>
        </is>
      </c>
    </row>
    <row r="164" ht="16.5" customHeight="1">
      <c r="A164" s="3" t="n"/>
      <c r="B164" s="5" t="n">
        <v>152</v>
      </c>
      <c r="C164" s="3" t="inlineStr">
        <is>
          <t>GASOLINERAS INDEPEN.-SS TERRA-</t>
        </is>
      </c>
      <c r="D164" s="3" t="inlineStr">
        <is>
          <t>GUATEMALA</t>
        </is>
      </c>
      <c r="E164" s="3" t="inlineStr">
        <is>
          <t>FRAIJANES</t>
        </is>
      </c>
      <c r="F164" s="3" t="inlineStr">
        <is>
          <t>2 avenida 1-13 zona 1, Don Justo, Municipio de Fraijanes, Departamento de Guatemala</t>
        </is>
      </c>
      <c r="I164" t="n">
        <v>14.538873</v>
      </c>
      <c r="J164" t="n">
        <v>-90.45245799999999</v>
      </c>
      <c r="K164" t="inlineStr">
        <is>
          <t>https://find.shell.com/gt/fuel/10128457-ss-terra/es_GT</t>
        </is>
      </c>
      <c r="L164" t="inlineStr">
        <is>
          <t>2026-10-05</t>
        </is>
      </c>
      <c r="M164" t="inlineStr">
        <is>
          <t>SS TERRA</t>
        </is>
      </c>
    </row>
    <row r="165" ht="16.5" customHeight="1">
      <c r="A165" s="3" t="n"/>
      <c r="B165" s="5" t="n">
        <v>153</v>
      </c>
      <c r="C165" s="3" t="inlineStr">
        <is>
          <t>SS JALAPA</t>
        </is>
      </c>
      <c r="D165" s="3" t="inlineStr">
        <is>
          <t>JALAPA</t>
        </is>
      </c>
      <c r="E165" s="3" t="inlineStr">
        <is>
          <t>JALAPA</t>
        </is>
      </c>
      <c r="F165" s="3" t="inlineStr">
        <is>
          <t>2 CALLE "C" 03-07 ZONA 1, BARRIO LA DEMOCRACIA</t>
        </is>
      </c>
      <c r="I165" t="n">
        <v>14.6375</v>
      </c>
      <c r="J165" t="n">
        <v>-89.98437300000001</v>
      </c>
      <c r="K165" t="inlineStr">
        <is>
          <t>https://find.shell.com/gt/fuel/10131300-ss-jalapa/es_GT</t>
        </is>
      </c>
      <c r="L165" t="inlineStr">
        <is>
          <t>2026-10-05</t>
        </is>
      </c>
      <c r="M165" t="inlineStr">
        <is>
          <t>SS JALAPA</t>
        </is>
      </c>
    </row>
    <row r="166" ht="16.5" customHeight="1">
      <c r="A166" s="3" t="n"/>
      <c r="B166" s="5" t="n">
        <v>154</v>
      </c>
      <c r="C166" s="3" t="inlineStr">
        <is>
          <t>SS KM. CIENTO VEINTISEIS PUNTO CINCO</t>
        </is>
      </c>
      <c r="D166" s="3" t="inlineStr">
        <is>
          <t>ZACAPA</t>
        </is>
      </c>
      <c r="E166" s="3" t="inlineStr">
        <is>
          <t>RIO HONDO</t>
        </is>
      </c>
      <c r="F166" s="3" t="inlineStr">
        <is>
          <t>Km. 126 Carretera al Atlántico, Santa Cruz, Zacapa</t>
        </is>
      </c>
    </row>
    <row r="167" ht="16.5" customHeight="1">
      <c r="A167" s="3" t="n"/>
      <c r="B167" s="5" t="n">
        <v>155</v>
      </c>
      <c r="C167" s="3" t="inlineStr">
        <is>
          <t>SS LOS AMATES</t>
        </is>
      </c>
      <c r="D167" s="3" t="inlineStr">
        <is>
          <t>IZABAL</t>
        </is>
      </c>
      <c r="E167" s="3" t="inlineStr">
        <is>
          <t>AMATES</t>
        </is>
      </c>
      <c r="F167" s="3" t="inlineStr">
        <is>
          <t>km 167 el manacal, los amates, izabal</t>
        </is>
      </c>
    </row>
    <row r="168" ht="16.5" customHeight="1">
      <c r="A168" s="3" t="n"/>
      <c r="B168" s="5" t="n">
        <v>156</v>
      </c>
      <c r="C168" s="3" t="inlineStr">
        <is>
          <t>SS MORAZAN TASA FOB</t>
        </is>
      </c>
      <c r="D168" s="3" t="inlineStr">
        <is>
          <t>El Progreso</t>
        </is>
      </c>
      <c r="E168" s="3" t="inlineStr">
        <is>
          <t>MORAZAN</t>
        </is>
      </c>
      <c r="F168" s="3" t="inlineStr">
        <is>
          <t>Km.95 carretera a Cobán entrada a Morazán</t>
        </is>
      </c>
      <c r="I168" t="n">
        <v>14.915136</v>
      </c>
      <c r="J168" t="n">
        <v>-90.09901600000001</v>
      </c>
      <c r="K168" t="inlineStr">
        <is>
          <t>https://find.shell.com/gt/fuel/10128378-ss-morazan/es_GT</t>
        </is>
      </c>
      <c r="L168" t="inlineStr">
        <is>
          <t>2026-10-05</t>
        </is>
      </c>
      <c r="M168" t="inlineStr">
        <is>
          <t>SS MORAZAN</t>
        </is>
      </c>
    </row>
    <row r="169" ht="16.5" customHeight="1">
      <c r="A169" s="3" t="n"/>
      <c r="B169" s="5" t="n">
        <v>157</v>
      </c>
      <c r="C169" s="3" t="inlineStr">
        <is>
          <t>SS QUETZAL</t>
        </is>
      </c>
      <c r="D169" s="3" t="inlineStr">
        <is>
          <t>GUATEMALA</t>
        </is>
      </c>
      <c r="E169" s="3" t="inlineStr">
        <is>
          <t>SAN JUAN SACATEPEQUEZ</t>
        </is>
      </c>
      <c r="F169" s="3" t="inlineStr">
        <is>
          <t>BOULEVARD PRINCIPAL, LOTE 15 ZONA 10, SAN JUAN SACATEPEQUEZ, GUATEMALA</t>
        </is>
      </c>
      <c r="I169" t="n">
        <v>14.696837</v>
      </c>
      <c r="J169" t="n">
        <v>-90.57948399999999</v>
      </c>
      <c r="K169" t="inlineStr">
        <is>
          <t>https://find.shell.com/gt/fuel/10131319-ss-quetzal/es_GT</t>
        </is>
      </c>
      <c r="L169" t="inlineStr">
        <is>
          <t>2026-10-05</t>
        </is>
      </c>
      <c r="M169" t="inlineStr">
        <is>
          <t>SS QUETZAL</t>
        </is>
      </c>
    </row>
    <row r="170" ht="16.5" customHeight="1">
      <c r="A170" s="3" t="n"/>
      <c r="B170" s="5" t="n">
        <v>158</v>
      </c>
      <c r="C170" s="3" t="inlineStr">
        <is>
          <t>SS SALAMA</t>
        </is>
      </c>
      <c r="D170" s="3" t="inlineStr">
        <is>
          <t>BAJA VERAPAZ</t>
        </is>
      </c>
      <c r="E170" s="3" t="inlineStr">
        <is>
          <t>SALAMA</t>
        </is>
      </c>
      <c r="F170" s="3" t="inlineStr">
        <is>
          <t>Ruta 4, 3-89 zona 3, Barrio Agua Caliente</t>
        </is>
      </c>
      <c r="I170" t="n">
        <v>15.101763</v>
      </c>
      <c r="J170" t="n">
        <v>-90.33463399999999</v>
      </c>
      <c r="K170" t="inlineStr">
        <is>
          <t>https://find.shell.com/gt/fuel/10128472-ss-salama/es_GT</t>
        </is>
      </c>
      <c r="L170" t="inlineStr">
        <is>
          <t>2026-10-05</t>
        </is>
      </c>
      <c r="M170" t="inlineStr">
        <is>
          <t>SS SALAMA</t>
        </is>
      </c>
    </row>
    <row r="171" ht="16.5" customHeight="1">
      <c r="A171" s="3" t="n"/>
      <c r="B171" s="5" t="n">
        <v>159</v>
      </c>
      <c r="C171" s="3" t="inlineStr">
        <is>
          <t>SS XELA SUR</t>
        </is>
      </c>
      <c r="D171" s="3" t="inlineStr">
        <is>
          <t>QUETZALTENANGO</t>
        </is>
      </c>
      <c r="E171" s="3" t="inlineStr">
        <is>
          <t>QUETZALTENANGO</t>
        </is>
      </c>
      <c r="F171" s="3" t="inlineStr">
        <is>
          <t>Diagonal 5 37-229 Zona 8, Municipio de Quetzaltenango, Departamento de Quetzaltenango</t>
        </is>
      </c>
      <c r="I171" t="n">
        <v>14.861753</v>
      </c>
      <c r="J171" t="n">
        <v>-91.542089</v>
      </c>
      <c r="K171" t="inlineStr">
        <is>
          <t>https://find.shell.com/gt/fuel/10131331-ss-xela-sur/es_GT</t>
        </is>
      </c>
      <c r="L171" t="inlineStr">
        <is>
          <t>2026-10-05</t>
        </is>
      </c>
      <c r="M171" t="inlineStr">
        <is>
          <t>SS XELA SUR</t>
        </is>
      </c>
    </row>
  </sheetData>
  <autoFilter ref="A12:F171"/>
  <printOptions horizontalCentered="1"/>
  <pageMargins left="0.1968503937007874" right="0.1968503937007874" top="0.1968503937007874" bottom="0.1968503937007874" header="0.3149606299212598" footer="0.3149606299212598"/>
  <pageSetup orientation="landscape" scale="7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N101"/>
  <sheetViews>
    <sheetView topLeftCell="B1" zoomScale="85" zoomScaleNormal="85" workbookViewId="0">
      <pane ySplit="6" topLeftCell="A7" activePane="bottomLeft" state="frozen"/>
      <selection pane="bottomLeft" activeCell="E29" sqref="E29"/>
    </sheetView>
  </sheetViews>
  <sheetFormatPr baseColWidth="8" defaultColWidth="9.140625" defaultRowHeight="12.75"/>
  <cols>
    <col width="9.140625" customWidth="1" style="1" min="1" max="1"/>
    <col width="8.85546875" customWidth="1" style="1" min="2" max="2"/>
    <col width="40.85546875" bestFit="1" customWidth="1" style="1" min="3" max="3"/>
    <col width="20.5703125" bestFit="1" customWidth="1" style="1" min="4" max="4"/>
    <col width="31.85546875" bestFit="1" customWidth="1" style="1" min="5" max="5"/>
    <col width="125.85546875" bestFit="1" customWidth="1" style="1" min="6" max="6"/>
    <col width="15.5703125" bestFit="1" customWidth="1" style="1" min="7" max="7"/>
    <col width="15.85546875" customWidth="1" style="1" min="8" max="8"/>
    <col width="46" bestFit="1" customWidth="1" style="1" min="9" max="9"/>
    <col width="9.140625" customWidth="1" style="1" min="10" max="16384"/>
  </cols>
  <sheetData>
    <row r="1"/>
    <row r="2"/>
    <row r="3"/>
    <row r="4"/>
    <row r="5"/>
    <row r="6" ht="16.5" customHeight="1">
      <c r="A6" s="4" t="inlineStr">
        <is>
          <t>Espacio</t>
        </is>
      </c>
      <c r="B6" s="4" t="inlineStr">
        <is>
          <t>No.</t>
        </is>
      </c>
      <c r="C6" s="4" t="inlineStr">
        <is>
          <t>NOMBRE</t>
        </is>
      </c>
      <c r="D6" s="4" t="inlineStr">
        <is>
          <t>DEPARTAMENTO</t>
        </is>
      </c>
      <c r="E6" s="4" t="inlineStr">
        <is>
          <t>MUNICIPIO</t>
        </is>
      </c>
      <c r="F6" s="4" t="inlineStr">
        <is>
          <t>DIRECCION</t>
        </is>
      </c>
      <c r="G6" s="8" t="inlineStr">
        <is>
          <t>DIESEL ULSD</t>
        </is>
      </c>
      <c r="H6" s="4" t="inlineStr">
        <is>
          <t>CÓDIGO</t>
        </is>
      </c>
      <c r="I6" s="4" t="inlineStr">
        <is>
          <t>ESTACIÓN</t>
        </is>
      </c>
      <c r="J6" t="inlineStr">
        <is>
          <t>LATITUD</t>
        </is>
      </c>
      <c r="K6" t="inlineStr">
        <is>
          <t>LONGITUD</t>
        </is>
      </c>
      <c r="L6" t="inlineStr">
        <is>
          <t>FUENTE_UBICACION</t>
        </is>
      </c>
      <c r="M6" t="inlineStr">
        <is>
          <t>FECHA_UBICACION</t>
        </is>
      </c>
      <c r="N6" t="inlineStr">
        <is>
          <t>NOMBRE_UBICACION</t>
        </is>
      </c>
    </row>
    <row r="7" ht="16.5" customHeight="1">
      <c r="A7" s="5" t="n"/>
      <c r="B7" s="5" t="n">
        <v>1</v>
      </c>
      <c r="C7" s="2" t="inlineStr">
        <is>
          <t xml:space="preserve"> ACATAN</t>
        </is>
      </c>
      <c r="D7" s="2" t="inlineStr">
        <is>
          <t>GUATEMALA</t>
        </is>
      </c>
      <c r="E7" s="2" t="inlineStr">
        <is>
          <t>GUATEMALA</t>
        </is>
      </c>
      <c r="F7" s="2" t="inlineStr">
        <is>
          <t>DIAGONAL 34 (CALLE REAL ACATAN) 12-20 COLONIA LAS MERCEDES ZONA 16</t>
        </is>
      </c>
      <c r="G7" s="6" t="n"/>
      <c r="H7" s="2" t="n">
        <v>606182</v>
      </c>
      <c r="I7" s="2" t="inlineStr">
        <is>
          <t>ACATAN GT980108</t>
        </is>
      </c>
      <c r="J7" t="n">
        <v>14.6173056</v>
      </c>
      <c r="K7" t="n">
        <v>-90.4730599</v>
      </c>
      <c r="L7" t="inlineStr">
        <is>
          <t>https://www.google.com/maps/d/viewer?mid=1GZpOQ49Rymf1VGjF7oDoiMDC81ZHrXrr</t>
        </is>
      </c>
      <c r="M7" t="inlineStr">
        <is>
          <t>2026-10-05</t>
        </is>
      </c>
      <c r="N7" t="inlineStr">
        <is>
          <t>UNO Acatán</t>
        </is>
      </c>
    </row>
    <row r="8" ht="16.5" customHeight="1">
      <c r="A8" s="5" t="n"/>
      <c r="B8" s="5" t="n">
        <v>2</v>
      </c>
      <c r="C8" s="2" t="inlineStr">
        <is>
          <t xml:space="preserve"> ATANASIO</t>
        </is>
      </c>
      <c r="D8" s="2" t="inlineStr">
        <is>
          <t>GUATEMALA</t>
        </is>
      </c>
      <c r="E8" s="2" t="inlineStr">
        <is>
          <t>GUATEMALA</t>
        </is>
      </c>
      <c r="F8" s="2" t="inlineStr">
        <is>
          <t>23 AVENIDA A 42-05 ZONA 12</t>
        </is>
      </c>
      <c r="G8" s="7" t="n"/>
      <c r="H8" s="2" t="n">
        <v>653504</v>
      </c>
      <c r="I8" s="2" t="inlineStr">
        <is>
          <t>ATANASIO GT980108</t>
        </is>
      </c>
      <c r="J8" t="n">
        <v>14.5743975</v>
      </c>
      <c r="K8" t="n">
        <v>-90.5425888</v>
      </c>
      <c r="L8" t="inlineStr">
        <is>
          <t>https://www.google.com/maps/d/viewer?mid=1GZpOQ49Rymf1VGjF7oDoiMDC81ZHrXrr</t>
        </is>
      </c>
      <c r="M8" t="inlineStr">
        <is>
          <t>2026-10-05</t>
        </is>
      </c>
      <c r="N8" t="inlineStr">
        <is>
          <t>UNO Atanasio</t>
        </is>
      </c>
    </row>
    <row r="9" ht="16.5" customHeight="1">
      <c r="A9" s="5" t="n"/>
      <c r="B9" s="5" t="n">
        <v>3</v>
      </c>
      <c r="C9" s="2" t="inlineStr">
        <is>
          <t xml:space="preserve"> CRUZ DEL SUR</t>
        </is>
      </c>
      <c r="D9" s="2" t="inlineStr">
        <is>
          <t>GUATEMALA</t>
        </is>
      </c>
      <c r="E9" s="2" t="inlineStr">
        <is>
          <t>GUATEMALA</t>
        </is>
      </c>
      <c r="F9" s="2" t="inlineStr">
        <is>
          <t>16 CALLE 9-69 ZONA 1</t>
        </is>
      </c>
      <c r="G9" s="12" t="n"/>
      <c r="H9" s="2" t="n">
        <v>606046</v>
      </c>
      <c r="I9" s="2" t="inlineStr">
        <is>
          <t>CRUZ DEL SUR GT980108</t>
        </is>
      </c>
      <c r="J9" t="n">
        <v>14.6320051</v>
      </c>
      <c r="K9" t="n">
        <v>-90.5109068</v>
      </c>
      <c r="L9" t="inlineStr">
        <is>
          <t>https://www.google.com/maps/d/viewer?mid=1GZpOQ49Rymf1VGjF7oDoiMDC81ZHrXrr</t>
        </is>
      </c>
      <c r="M9" t="inlineStr">
        <is>
          <t>2026-10-05</t>
        </is>
      </c>
      <c r="N9" t="inlineStr">
        <is>
          <t>UNO Cruz del Sur Zona 1</t>
        </is>
      </c>
    </row>
    <row r="10" ht="16.5" customHeight="1">
      <c r="A10" s="9" t="inlineStr">
        <is>
          <t xml:space="preserve">T, pesado </t>
        </is>
      </c>
      <c r="B10" s="5" t="n">
        <v>4</v>
      </c>
      <c r="C10" s="2" t="inlineStr">
        <is>
          <t xml:space="preserve"> DIAGONAL SEIS </t>
        </is>
      </c>
      <c r="D10" s="2" t="inlineStr">
        <is>
          <t>GUATEMALA</t>
        </is>
      </c>
      <c r="E10" s="2" t="inlineStr">
        <is>
          <t>GUATEMALA</t>
        </is>
      </c>
      <c r="F10" s="2" t="inlineStr">
        <is>
          <t>BOULEVARD LOS PRÓCERES 18-28 ZONA 10</t>
        </is>
      </c>
      <c r="G10" s="12" t="inlineStr">
        <is>
          <t>SI</t>
        </is>
      </c>
      <c r="H10" s="2" t="n">
        <v>108078</v>
      </c>
      <c r="I10" s="2" t="inlineStr">
        <is>
          <t>DIAGONAL 6 GT980108</t>
        </is>
      </c>
      <c r="J10" t="n">
        <v>14.5882735</v>
      </c>
      <c r="K10" t="n">
        <v>-90.5022795</v>
      </c>
      <c r="L10" t="inlineStr">
        <is>
          <t>https://www.google.com/maps/d/viewer?mid=1GZpOQ49Rymf1VGjF7oDoiMDC81ZHrXrr</t>
        </is>
      </c>
      <c r="M10" t="inlineStr">
        <is>
          <t>2026-10-05</t>
        </is>
      </c>
      <c r="N10" t="inlineStr">
        <is>
          <t>UNO Diagonal 6</t>
        </is>
      </c>
    </row>
    <row r="11" ht="16.5" customHeight="1">
      <c r="A11" s="9" t="inlineStr">
        <is>
          <t xml:space="preserve">T, pesado </t>
        </is>
      </c>
      <c r="B11" s="5" t="n">
        <v>5</v>
      </c>
      <c r="C11" s="2" t="inlineStr">
        <is>
          <t xml:space="preserve"> JOSE MILLA - MARTI</t>
        </is>
      </c>
      <c r="D11" s="2" t="inlineStr">
        <is>
          <t>GUATEMALA</t>
        </is>
      </c>
      <c r="E11" s="2" t="inlineStr">
        <is>
          <t>GUATEMALA</t>
        </is>
      </c>
      <c r="F11" s="2" t="inlineStr">
        <is>
          <t>CALZADA JOSE MILLA Y VIDAURRE 24-88 ZONA 6</t>
        </is>
      </c>
      <c r="G11" s="12" t="inlineStr">
        <is>
          <t>SI</t>
        </is>
      </c>
      <c r="H11" s="2" t="n">
        <v>108105</v>
      </c>
      <c r="I11" s="2" t="inlineStr">
        <is>
          <t>JOSE MILLA GT980108</t>
        </is>
      </c>
      <c r="J11" t="n">
        <v>14.6493621</v>
      </c>
      <c r="K11" t="n">
        <v>-90.489693</v>
      </c>
      <c r="L11" t="inlineStr">
        <is>
          <t>https://www.google.com/maps/d/viewer?mid=1GZpOQ49Rymf1VGjF7oDoiMDC81ZHrXrr</t>
        </is>
      </c>
      <c r="M11" t="inlineStr">
        <is>
          <t>2026-10-05</t>
        </is>
      </c>
      <c r="N11" t="inlineStr">
        <is>
          <t>UNO José Milla</t>
        </is>
      </c>
    </row>
    <row r="12" ht="16.5" customHeight="1">
      <c r="A12" s="5" t="n"/>
      <c r="B12" s="5" t="n">
        <v>6</v>
      </c>
      <c r="C12" s="2" t="inlineStr">
        <is>
          <t xml:space="preserve"> PASEO CAYALA</t>
        </is>
      </c>
      <c r="D12" s="2" t="inlineStr">
        <is>
          <t>GUATEMALA</t>
        </is>
      </c>
      <c r="E12" s="2" t="inlineStr">
        <is>
          <t>GUATEMALA</t>
        </is>
      </c>
      <c r="F12" s="2" t="inlineStr">
        <is>
          <t>BOULEVARD RAFAEL LANDÍVAR LOTE 3 COLONIA JACARANDAS DE CAYALA ZONA 16</t>
        </is>
      </c>
      <c r="G12" s="12" t="inlineStr">
        <is>
          <t>SI</t>
        </is>
      </c>
      <c r="H12" s="2" t="n">
        <v>606065</v>
      </c>
      <c r="I12" s="2" t="inlineStr">
        <is>
          <t>PASEO CAYALA GT980108</t>
        </is>
      </c>
      <c r="J12" t="n">
        <v>14.6087158</v>
      </c>
      <c r="K12" t="n">
        <v>-90.489538</v>
      </c>
      <c r="L12" t="inlineStr">
        <is>
          <t>https://www.google.com/maps/d/viewer?mid=1GZpOQ49Rymf1VGjF7oDoiMDC81ZHrXrr</t>
        </is>
      </c>
      <c r="M12" t="inlineStr">
        <is>
          <t>2026-10-05</t>
        </is>
      </c>
      <c r="N12" t="inlineStr">
        <is>
          <t>UNO Cayalá</t>
        </is>
      </c>
    </row>
    <row r="13" ht="16.5" customHeight="1">
      <c r="A13" s="9" t="inlineStr">
        <is>
          <t xml:space="preserve">T, pesado </t>
        </is>
      </c>
      <c r="B13" s="5" t="n">
        <v>7</v>
      </c>
      <c r="C13" s="2" t="inlineStr">
        <is>
          <t xml:space="preserve"> PINOS II</t>
        </is>
      </c>
      <c r="D13" s="2" t="inlineStr">
        <is>
          <t>GUATEMALA</t>
        </is>
      </c>
      <c r="E13" s="2" t="inlineStr">
        <is>
          <t>GUATEMALA</t>
        </is>
      </c>
      <c r="F13" s="2" t="inlineStr">
        <is>
          <t>CARRETERA AL ATLÁNTICO KM 6.5 ZONA 18</t>
        </is>
      </c>
      <c r="G13" s="12" t="n"/>
      <c r="H13" s="2" t="n">
        <v>606063</v>
      </c>
      <c r="I13" s="2" t="inlineStr">
        <is>
          <t>PACIFIC PINOS GT980108</t>
        </is>
      </c>
      <c r="J13" t="n">
        <v>14.6555928</v>
      </c>
      <c r="K13" t="n">
        <v>-90.4627739</v>
      </c>
      <c r="L13" t="inlineStr">
        <is>
          <t>https://www.google.com/maps/d/viewer?mid=1GZpOQ49Rymf1VGjF7oDoiMDC81ZHrXrr</t>
        </is>
      </c>
      <c r="M13" t="inlineStr">
        <is>
          <t>2026-10-05</t>
        </is>
      </c>
      <c r="N13" t="inlineStr">
        <is>
          <t>UNO Pinos II zona 18</t>
        </is>
      </c>
    </row>
    <row r="14" ht="16.5" customHeight="1">
      <c r="A14" s="5" t="n"/>
      <c r="B14" s="5" t="n">
        <v>8</v>
      </c>
      <c r="C14" s="2" t="inlineStr">
        <is>
          <t xml:space="preserve"> PROCERES OBELISCO</t>
        </is>
      </c>
      <c r="D14" s="2" t="inlineStr">
        <is>
          <t>GUATEMALA</t>
        </is>
      </c>
      <c r="E14" s="2" t="inlineStr">
        <is>
          <t>GUATEMALA</t>
        </is>
      </c>
      <c r="F14" s="2" t="inlineStr">
        <is>
          <t>18 CALLE 4-01 ZONA 10</t>
        </is>
      </c>
      <c r="G14" s="12" t="inlineStr">
        <is>
          <t>SI</t>
        </is>
      </c>
      <c r="H14" s="2" t="n">
        <v>606059</v>
      </c>
      <c r="I14" s="2" t="inlineStr">
        <is>
          <t>PROCERES OBELISCO GT980108</t>
        </is>
      </c>
      <c r="J14" t="n">
        <v>14.5935121</v>
      </c>
      <c r="K14" t="n">
        <v>-90.51350890000001</v>
      </c>
      <c r="L14" t="inlineStr">
        <is>
          <t>https://www.google.com/maps/d/viewer?mid=1GZpOQ49Rymf1VGjF7oDoiMDC81ZHrXrr</t>
        </is>
      </c>
      <c r="M14" t="inlineStr">
        <is>
          <t>2026-10-05</t>
        </is>
      </c>
      <c r="N14" t="inlineStr">
        <is>
          <t>UNO Próceres Obelisco</t>
        </is>
      </c>
    </row>
    <row r="15" ht="16.5" customHeight="1">
      <c r="A15" s="5" t="n"/>
      <c r="B15" s="5" t="n">
        <v>9</v>
      </c>
      <c r="C15" s="2" t="inlineStr">
        <is>
          <t xml:space="preserve"> PROVIDENCIA</t>
        </is>
      </c>
      <c r="D15" s="2" t="inlineStr">
        <is>
          <t>GUATEMALA</t>
        </is>
      </c>
      <c r="E15" s="2" t="inlineStr">
        <is>
          <t>GUATEMALA</t>
        </is>
      </c>
      <c r="F15" s="2" t="inlineStr">
        <is>
          <t>CARRETERA AL ATLÁNTICO KM 8.5 ZONA 18</t>
        </is>
      </c>
      <c r="G15" s="12" t="n"/>
      <c r="H15" s="2" t="n">
        <v>606064</v>
      </c>
      <c r="I15" s="2" t="inlineStr">
        <is>
          <t>LA PROVIDENCIA ZO 18 GT980108</t>
        </is>
      </c>
      <c r="J15" t="n">
        <v>14.6484135</v>
      </c>
      <c r="K15" t="n">
        <v>-90.4482136</v>
      </c>
      <c r="L15" t="inlineStr">
        <is>
          <t>https://www.google.com/maps/d/viewer?mid=1GZpOQ49Rymf1VGjF7oDoiMDC81ZHrXrr</t>
        </is>
      </c>
      <c r="M15" t="inlineStr">
        <is>
          <t>2026-10-05</t>
        </is>
      </c>
      <c r="N15" t="inlineStr">
        <is>
          <t>UNO La Providencia Zona 18</t>
        </is>
      </c>
    </row>
    <row r="16" ht="16.5" customHeight="1">
      <c r="A16" s="5" t="n"/>
      <c r="B16" s="5" t="n">
        <v>10</v>
      </c>
      <c r="C16" s="2" t="inlineStr">
        <is>
          <t xml:space="preserve"> TERMINAL GUATE</t>
        </is>
      </c>
      <c r="D16" s="2" t="inlineStr">
        <is>
          <t>GUATEMALA</t>
        </is>
      </c>
      <c r="E16" s="2" t="inlineStr">
        <is>
          <t>GUATEMALA</t>
        </is>
      </c>
      <c r="F16" s="2" t="inlineStr">
        <is>
          <t>2 AVENIDA 2-41 ZONA 9</t>
        </is>
      </c>
      <c r="G16" s="12" t="n"/>
      <c r="H16" s="2" t="n">
        <v>108102</v>
      </c>
      <c r="I16" s="2" t="inlineStr">
        <is>
          <t>TERMINAL HUEHUETENANGO GT980108</t>
        </is>
      </c>
      <c r="J16" t="n">
        <v>14.613099</v>
      </c>
      <c r="K16" t="n">
        <v>-90.52256730000001</v>
      </c>
      <c r="L16" t="inlineStr">
        <is>
          <t>https://www.google.com/maps/d/viewer?mid=1GZpOQ49Rymf1VGjF7oDoiMDC81ZHrXrr</t>
        </is>
      </c>
      <c r="M16" t="inlineStr">
        <is>
          <t>2026-10-05</t>
        </is>
      </c>
      <c r="N16" t="inlineStr">
        <is>
          <t>UNO Terminal</t>
        </is>
      </c>
    </row>
    <row r="17" ht="16.5" customHeight="1">
      <c r="A17" s="5" t="n"/>
      <c r="B17" s="5" t="n">
        <v>11</v>
      </c>
      <c r="C17" s="2" t="inlineStr">
        <is>
          <t xml:space="preserve"> TREBOL </t>
        </is>
      </c>
      <c r="D17" s="2" t="inlineStr">
        <is>
          <t>GUATEMALA</t>
        </is>
      </c>
      <c r="E17" s="2" t="inlineStr">
        <is>
          <t>GUATEMALA</t>
        </is>
      </c>
      <c r="F17" s="2" t="inlineStr">
        <is>
          <t>CALZADA ROOSEVELT 5-78 ZONA 7 COLONIA LÁNDIVAR</t>
        </is>
      </c>
      <c r="G17" s="12" t="n"/>
      <c r="H17" s="2" t="n">
        <v>606057</v>
      </c>
      <c r="I17" s="2" t="inlineStr">
        <is>
          <t>TREBOL GT980108</t>
        </is>
      </c>
      <c r="J17" t="n">
        <v>14.6168626</v>
      </c>
      <c r="K17" t="n">
        <v>-90.5398369</v>
      </c>
      <c r="L17" t="inlineStr">
        <is>
          <t>https://www.google.com/maps/d/viewer?mid=1GZpOQ49Rymf1VGjF7oDoiMDC81ZHrXrr</t>
        </is>
      </c>
      <c r="M17" t="inlineStr">
        <is>
          <t>2026-10-05</t>
        </is>
      </c>
      <c r="N17" t="inlineStr">
        <is>
          <t>UNO Trebol</t>
        </is>
      </c>
    </row>
    <row r="18" ht="16.5" customHeight="1">
      <c r="A18" s="5" t="n"/>
      <c r="B18" s="5" t="n">
        <v>12</v>
      </c>
      <c r="C18" s="2" t="inlineStr">
        <is>
          <t xml:space="preserve"> MONTE MARIA</t>
        </is>
      </c>
      <c r="D18" s="2" t="inlineStr">
        <is>
          <t>GUATEMALA</t>
        </is>
      </c>
      <c r="E18" s="2" t="inlineStr">
        <is>
          <t>VILLA NUEVA</t>
        </is>
      </c>
      <c r="F18" s="2" t="inlineStr">
        <is>
          <t xml:space="preserve">CALZADA AGUILAR BATRES 44-81 COLONIA MONTE MARIA ZONA 12 VILLA NUEVA </t>
        </is>
      </c>
      <c r="G18" s="12" t="inlineStr">
        <is>
          <t>SI</t>
        </is>
      </c>
      <c r="H18" s="2" t="n">
        <v>606062</v>
      </c>
      <c r="I18" s="2" t="inlineStr">
        <is>
          <t>MONTE MARIA GT980108</t>
        </is>
      </c>
      <c r="J18" t="n">
        <v>14.5797466</v>
      </c>
      <c r="K18" t="n">
        <v>-90.56802500000001</v>
      </c>
      <c r="L18" t="inlineStr">
        <is>
          <t>https://www.google.com/maps/d/viewer?mid=1GZpOQ49Rymf1VGjF7oDoiMDC81ZHrXrr</t>
        </is>
      </c>
      <c r="M18" t="inlineStr">
        <is>
          <t>2026-10-05</t>
        </is>
      </c>
      <c r="N18" t="inlineStr">
        <is>
          <t>UNO Monte María</t>
        </is>
      </c>
    </row>
    <row r="19" ht="16.5" customHeight="1">
      <c r="A19" s="5" t="n"/>
      <c r="B19" s="5" t="n">
        <v>13</v>
      </c>
      <c r="C19" s="2" t="inlineStr">
        <is>
          <t xml:space="preserve"> DELTA BARCENAS </t>
        </is>
      </c>
      <c r="D19" s="2" t="inlineStr">
        <is>
          <t>GUATEMALA</t>
        </is>
      </c>
      <c r="E19" s="2" t="inlineStr">
        <is>
          <t>VILLA NUEVA</t>
        </is>
      </c>
      <c r="F19" s="2" t="inlineStr">
        <is>
          <t xml:space="preserve">CARRETERA AL PACIFICO KM 19.25 BÁRCENAS VILLA NUEVA </t>
        </is>
      </c>
      <c r="G19" s="12" t="inlineStr">
        <is>
          <t>SI</t>
        </is>
      </c>
      <c r="H19" s="2" t="n">
        <v>606072</v>
      </c>
      <c r="I19" s="2" t="inlineStr">
        <is>
          <t>DELTA BARCENAS GT980108</t>
        </is>
      </c>
      <c r="J19" t="n">
        <v>14.5150466</v>
      </c>
      <c r="K19" t="n">
        <v>-90.6051271</v>
      </c>
      <c r="L19" t="inlineStr">
        <is>
          <t>https://www.google.com/maps/d/viewer?mid=1GZpOQ49Rymf1VGjF7oDoiMDC81ZHrXrr</t>
        </is>
      </c>
      <c r="M19" t="inlineStr">
        <is>
          <t>2026-10-05</t>
        </is>
      </c>
      <c r="N19" t="inlineStr">
        <is>
          <t>UNO Delta Barcenas</t>
        </is>
      </c>
    </row>
    <row r="20" ht="16.5" customHeight="1">
      <c r="A20" s="9" t="inlineStr">
        <is>
          <t xml:space="preserve">T, pesado </t>
        </is>
      </c>
      <c r="B20" s="5" t="n">
        <v>14</v>
      </c>
      <c r="C20" s="2" t="inlineStr">
        <is>
          <t xml:space="preserve"> BOCA DEL MONTE II</t>
        </is>
      </c>
      <c r="D20" s="2" t="inlineStr">
        <is>
          <t>GUATEMALA</t>
        </is>
      </c>
      <c r="E20" s="2" t="inlineStr">
        <is>
          <t>VILLA CANALES</t>
        </is>
      </c>
      <c r="F20" s="2" t="inlineStr">
        <is>
          <t>1 AVENIDA 5-29 BOCA DEL MONTE ZONA 1 VILLA CANALES</t>
        </is>
      </c>
      <c r="G20" s="12" t="n"/>
      <c r="H20" s="2" t="n">
        <v>606060</v>
      </c>
      <c r="I20" s="2" t="inlineStr">
        <is>
          <t>BOCA DEL MONTE II GT980108</t>
        </is>
      </c>
      <c r="J20" t="n">
        <v>14.5466729</v>
      </c>
      <c r="K20" t="n">
        <v>-90.52657360000001</v>
      </c>
      <c r="L20" t="inlineStr">
        <is>
          <t>https://www.google.com/maps/d/viewer?mid=1GZpOQ49Rymf1VGjF7oDoiMDC81ZHrXrr</t>
        </is>
      </c>
      <c r="M20" t="inlineStr">
        <is>
          <t>2026-10-05</t>
        </is>
      </c>
      <c r="N20" t="inlineStr">
        <is>
          <t>UNO Boca del Monte II</t>
        </is>
      </c>
    </row>
    <row r="21" ht="16.5" customHeight="1">
      <c r="A21" s="9" t="inlineStr">
        <is>
          <t xml:space="preserve">T, pesado </t>
        </is>
      </c>
      <c r="B21" s="5" t="n">
        <v>15</v>
      </c>
      <c r="C21" s="2" t="inlineStr">
        <is>
          <t xml:space="preserve"> SAN MIGUEL PETAPA</t>
        </is>
      </c>
      <c r="D21" s="2" t="inlineStr">
        <is>
          <t>GUATEMALA</t>
        </is>
      </c>
      <c r="E21" s="2" t="inlineStr">
        <is>
          <t>SAN MIGUEL PETAPA</t>
        </is>
      </c>
      <c r="F21" s="2" t="inlineStr">
        <is>
          <t>8 AVENIDA 0-51 COLONIA SAN ANTONIO ZONA 9 SAN MIGUEL PETAPA</t>
        </is>
      </c>
      <c r="G21" s="12" t="inlineStr">
        <is>
          <t>SI</t>
        </is>
      </c>
      <c r="H21" s="2" t="n">
        <v>606061</v>
      </c>
      <c r="I21" s="2" t="inlineStr">
        <is>
          <t>SAN MIGUEL PETAPA GT980108</t>
        </is>
      </c>
      <c r="J21" t="n">
        <v>14.5050499</v>
      </c>
      <c r="K21" t="n">
        <v>-90.5666349</v>
      </c>
      <c r="L21" t="inlineStr">
        <is>
          <t>https://www.google.com/maps/d/viewer?mid=1GZpOQ49Rymf1VGjF7oDoiMDC81ZHrXrr</t>
        </is>
      </c>
      <c r="M21" t="inlineStr">
        <is>
          <t>2026-10-05</t>
        </is>
      </c>
      <c r="N21" t="inlineStr">
        <is>
          <t>UNO San Miguel Petapa</t>
        </is>
      </c>
    </row>
    <row r="22" ht="16.5" customHeight="1">
      <c r="A22" s="9" t="inlineStr">
        <is>
          <t xml:space="preserve">T, pesado </t>
        </is>
      </c>
      <c r="B22" s="5" t="n">
        <v>16</v>
      </c>
      <c r="C22" s="2" t="inlineStr">
        <is>
          <t xml:space="preserve"> FLORES DEL LAGO</t>
        </is>
      </c>
      <c r="D22" s="2" t="inlineStr">
        <is>
          <t>GUATEMALA</t>
        </is>
      </c>
      <c r="E22" s="2" t="inlineStr">
        <is>
          <t>AMATITLAN</t>
        </is>
      </c>
      <c r="F22" s="2" t="inlineStr">
        <is>
          <t>KM 29.6 CARRETERA AL PACIFICO CA-9 SUR AMATITLÁN</t>
        </is>
      </c>
      <c r="G22" s="12" t="n"/>
      <c r="H22" s="2" t="n">
        <v>606042</v>
      </c>
      <c r="I22" s="2" t="inlineStr">
        <is>
          <t>FLORES DEL LAGO GT980108</t>
        </is>
      </c>
      <c r="J22" t="n">
        <v>14.4703989</v>
      </c>
      <c r="K22" t="n">
        <v>-90.63717269999999</v>
      </c>
      <c r="L22" t="inlineStr">
        <is>
          <t>https://www.google.com/maps/d/viewer?mid=1GZpOQ49Rymf1VGjF7oDoiMDC81ZHrXrr</t>
        </is>
      </c>
      <c r="M22" t="inlineStr">
        <is>
          <t>2026-10-05</t>
        </is>
      </c>
      <c r="N22" t="inlineStr">
        <is>
          <t>UNO Flores del Lago</t>
        </is>
      </c>
    </row>
    <row r="23" ht="16.5" customHeight="1">
      <c r="A23" s="9" t="inlineStr">
        <is>
          <t xml:space="preserve">T, pesado </t>
        </is>
      </c>
      <c r="B23" s="5" t="n">
        <v>17</v>
      </c>
      <c r="C23" s="2" t="inlineStr">
        <is>
          <t xml:space="preserve"> LAS PALMAS AMATITLAN </t>
        </is>
      </c>
      <c r="D23" s="2" t="inlineStr">
        <is>
          <t>GUATEMALA</t>
        </is>
      </c>
      <c r="E23" s="2" t="inlineStr">
        <is>
          <t>AMATITLAN</t>
        </is>
      </c>
      <c r="F23" s="2" t="inlineStr">
        <is>
          <t>KM 32.5 CARRETERA AL PACIFICO AMATITLÁN</t>
        </is>
      </c>
      <c r="G23" s="12" t="n"/>
      <c r="H23" s="2" t="n">
        <v>606049</v>
      </c>
      <c r="I23" s="2" t="inlineStr">
        <is>
          <t>LAS PALMAS AMA GT980108</t>
        </is>
      </c>
      <c r="J23" t="n">
        <v>14.4516382</v>
      </c>
      <c r="K23" t="n">
        <v>-90.6433586</v>
      </c>
      <c r="L23" t="inlineStr">
        <is>
          <t>https://www.google.com/maps/d/viewer?mid=1GZpOQ49Rymf1VGjF7oDoiMDC81ZHrXrr</t>
        </is>
      </c>
      <c r="M23" t="inlineStr">
        <is>
          <t>2026-10-05</t>
        </is>
      </c>
      <c r="N23" t="inlineStr">
        <is>
          <t>UNO Las Palmas Amatitlan</t>
        </is>
      </c>
    </row>
    <row r="24" ht="16.5" customHeight="1">
      <c r="A24" s="5" t="n"/>
      <c r="B24" s="5" t="n">
        <v>18</v>
      </c>
      <c r="C24" s="2" t="inlineStr">
        <is>
          <t xml:space="preserve"> FLORIDA</t>
        </is>
      </c>
      <c r="D24" s="2" t="inlineStr">
        <is>
          <t>GUATEMALA</t>
        </is>
      </c>
      <c r="E24" s="2" t="inlineStr">
        <is>
          <t>MIXCO</t>
        </is>
      </c>
      <c r="F24" s="2" t="inlineStr">
        <is>
          <t>3 AVENIDA 0-24 COLONIA LA BRIGADA ZONA 7 DE MIXCO</t>
        </is>
      </c>
      <c r="G24" s="12" t="n"/>
      <c r="H24" s="2" t="n">
        <v>606070</v>
      </c>
      <c r="I24" s="2" t="inlineStr">
        <is>
          <t>FLORIDA GT980108</t>
        </is>
      </c>
      <c r="J24" t="n">
        <v>14.6511162</v>
      </c>
      <c r="K24" t="n">
        <v>-90.58563959999999</v>
      </c>
      <c r="L24" t="inlineStr">
        <is>
          <t>https://www.google.com/maps/d/viewer?mid=1GZpOQ49Rymf1VGjF7oDoiMDC81ZHrXrr</t>
        </is>
      </c>
      <c r="M24" t="inlineStr">
        <is>
          <t>2026-10-05</t>
        </is>
      </c>
      <c r="N24" t="inlineStr">
        <is>
          <t>UNO Florida</t>
        </is>
      </c>
    </row>
    <row r="25" ht="16.5" customHeight="1">
      <c r="A25" s="9" t="inlineStr">
        <is>
          <t xml:space="preserve">T, pesado </t>
        </is>
      </c>
      <c r="B25" s="5" t="n">
        <v>19</v>
      </c>
      <c r="C25" s="2" t="inlineStr">
        <is>
          <t xml:space="preserve"> ROOSELVELT COTIO</t>
        </is>
      </c>
      <c r="D25" s="2" t="inlineStr">
        <is>
          <t>GUATEMALA</t>
        </is>
      </c>
      <c r="E25" s="2" t="inlineStr">
        <is>
          <t>MIXCO</t>
        </is>
      </c>
      <c r="F25" s="2" t="inlineStr">
        <is>
          <t>CALZADA ROOSEVELT 0-42 COLONIA COTIO ZONA 2 MIXCO</t>
        </is>
      </c>
      <c r="G25" s="12" t="inlineStr">
        <is>
          <t>SI</t>
        </is>
      </c>
      <c r="H25" s="2" t="n">
        <v>606055</v>
      </c>
      <c r="I25" s="2" t="inlineStr">
        <is>
          <t>ROOSEVELT COTIO GT980108</t>
        </is>
      </c>
      <c r="J25" t="n">
        <v>14.6328457</v>
      </c>
      <c r="K25" t="n">
        <v>-90.57084330000001</v>
      </c>
      <c r="L25" t="inlineStr">
        <is>
          <t>https://www.google.com/maps/d/viewer?mid=1GZpOQ49Rymf1VGjF7oDoiMDC81ZHrXrr</t>
        </is>
      </c>
      <c r="M25" t="inlineStr">
        <is>
          <t>2026-10-05</t>
        </is>
      </c>
      <c r="N25" t="inlineStr">
        <is>
          <t>UNO Roosevelt Cotio</t>
        </is>
      </c>
    </row>
    <row r="26" ht="16.5" customHeight="1">
      <c r="A26" s="5" t="n"/>
      <c r="B26" s="5" t="n">
        <v>20</v>
      </c>
      <c r="C26" s="2" t="inlineStr">
        <is>
          <t xml:space="preserve"> SAN CRISTOBAL 2</t>
        </is>
      </c>
      <c r="D26" s="2" t="inlineStr">
        <is>
          <t>GUATEMALA</t>
        </is>
      </c>
      <c r="E26" s="2" t="inlineStr">
        <is>
          <t>MIXCO</t>
        </is>
      </c>
      <c r="F26" s="2" t="inlineStr">
        <is>
          <t>3 CALLE 10-96 CIUDAD SAN CRISTÓBAL ZONA 8 MIXCO</t>
        </is>
      </c>
      <c r="G26" s="12" t="inlineStr">
        <is>
          <t>SI</t>
        </is>
      </c>
      <c r="H26" s="2" t="n">
        <v>606054</v>
      </c>
      <c r="I26" s="2" t="inlineStr">
        <is>
          <t>SAN CRISTOBAL 2 GT980108</t>
        </is>
      </c>
      <c r="J26" t="n">
        <v>14.6077106</v>
      </c>
      <c r="K26" t="n">
        <v>-90.58749</v>
      </c>
      <c r="L26" t="inlineStr">
        <is>
          <t>https://www.google.com/maps/d/viewer?mid=1GZpOQ49Rymf1VGjF7oDoiMDC81ZHrXrr</t>
        </is>
      </c>
      <c r="M26" t="inlineStr">
        <is>
          <t>2026-10-05</t>
        </is>
      </c>
      <c r="N26" t="inlineStr">
        <is>
          <t>UNO San Cristobal 2</t>
        </is>
      </c>
    </row>
    <row r="27" ht="16.5" customHeight="1">
      <c r="A27" s="5" t="n"/>
      <c r="B27" s="5" t="n">
        <v>21</v>
      </c>
      <c r="C27" s="2" t="inlineStr">
        <is>
          <t xml:space="preserve"> SAN CRISTOBAL III</t>
        </is>
      </c>
      <c r="D27" s="2" t="inlineStr">
        <is>
          <t>GUATEMALA</t>
        </is>
      </c>
      <c r="E27" s="2" t="inlineStr">
        <is>
          <t>MIXCO</t>
        </is>
      </c>
      <c r="F27" s="2" t="inlineStr">
        <is>
          <t>SAN CRISTÓBAL SECTOR B-1 MANZANA A1  9 Y 10 MIXCO</t>
        </is>
      </c>
      <c r="G27" s="12" t="inlineStr">
        <is>
          <t>SI</t>
        </is>
      </c>
      <c r="H27" s="2" t="n">
        <v>606053</v>
      </c>
      <c r="I27" s="2" t="inlineStr">
        <is>
          <t>SAN CRISTOBAL III GT980108</t>
        </is>
      </c>
      <c r="J27" t="n">
        <v>14.5961383</v>
      </c>
      <c r="K27" t="n">
        <v>-90.57831280000001</v>
      </c>
      <c r="L27" t="inlineStr">
        <is>
          <t>https://www.google.com/maps/d/viewer?mid=1GZpOQ49Rymf1VGjF7oDoiMDC81ZHrXrr</t>
        </is>
      </c>
      <c r="M27" t="inlineStr">
        <is>
          <t>2026-10-05</t>
        </is>
      </c>
      <c r="N27" t="inlineStr">
        <is>
          <t>UNO San Cristobal 3</t>
        </is>
      </c>
    </row>
    <row r="28" ht="16.5" customHeight="1">
      <c r="A28" s="5" t="n"/>
      <c r="B28" s="5" t="n">
        <v>22</v>
      </c>
      <c r="C28" s="2" t="inlineStr">
        <is>
          <t xml:space="preserve"> MUXBAL</t>
        </is>
      </c>
      <c r="D28" s="2" t="inlineStr">
        <is>
          <t>GUATEMALA</t>
        </is>
      </c>
      <c r="E28" s="2" t="inlineStr">
        <is>
          <t>SANTA CATARINA PINULA</t>
        </is>
      </c>
      <c r="F28" s="2" t="inlineStr">
        <is>
          <t>CARRETERA ANTIGUA AL SALVADOR KM 9.5 SAN JORGE MUXBAL SANTA CATARINA PINULA</t>
        </is>
      </c>
      <c r="G28" s="12" t="inlineStr">
        <is>
          <t>SI</t>
        </is>
      </c>
      <c r="H28" s="2" t="n">
        <v>606066</v>
      </c>
      <c r="I28" s="2" t="inlineStr">
        <is>
          <t>MUXBAL GT980108</t>
        </is>
      </c>
      <c r="J28" t="n">
        <v>14.5595606</v>
      </c>
      <c r="K28" t="n">
        <v>-90.4739177</v>
      </c>
      <c r="L28" t="inlineStr">
        <is>
          <t>https://www.google.com/maps/d/viewer?mid=1GZpOQ49Rymf1VGjF7oDoiMDC81ZHrXrr</t>
        </is>
      </c>
      <c r="M28" t="inlineStr">
        <is>
          <t>2026-10-05</t>
        </is>
      </c>
      <c r="N28" t="inlineStr">
        <is>
          <t>UNO Muxbal</t>
        </is>
      </c>
    </row>
    <row r="29" ht="16.5" customHeight="1">
      <c r="A29" s="5" t="n"/>
      <c r="B29" s="5" t="n">
        <v>23</v>
      </c>
      <c r="C29" s="2" t="inlineStr">
        <is>
          <t xml:space="preserve"> EL FARO</t>
        </is>
      </c>
      <c r="D29" s="2" t="inlineStr">
        <is>
          <t>GUATEMALA</t>
        </is>
      </c>
      <c r="E29" s="2" t="inlineStr">
        <is>
          <t>SAN JOSE PINULA</t>
        </is>
      </c>
      <c r="F29" s="2" t="inlineStr">
        <is>
          <t xml:space="preserve">CARRETERA A SAN JOSE PINULA KM 16.5 LAGUNTEA DON JUSTO SANTA JOSE PINULA </t>
        </is>
      </c>
      <c r="G29" s="12" t="inlineStr">
        <is>
          <t>SI</t>
        </is>
      </c>
      <c r="H29" s="2" t="n">
        <v>606047</v>
      </c>
      <c r="I29" s="2" t="inlineStr">
        <is>
          <t>EL FARO GT980108</t>
        </is>
      </c>
      <c r="J29" t="n">
        <v>14.5426082</v>
      </c>
      <c r="K29" t="n">
        <v>-90.4467274</v>
      </c>
      <c r="L29" t="inlineStr">
        <is>
          <t>https://www.google.com/maps/d/viewer?mid=1GZpOQ49Rymf1VGjF7oDoiMDC81ZHrXrr</t>
        </is>
      </c>
      <c r="M29" t="inlineStr">
        <is>
          <t>2026-10-05</t>
        </is>
      </c>
      <c r="N29" t="inlineStr">
        <is>
          <t>UNO El Faro</t>
        </is>
      </c>
    </row>
    <row r="30" ht="16.5" customHeight="1">
      <c r="A30" s="5" t="n"/>
      <c r="B30" s="5" t="n">
        <v>24</v>
      </c>
      <c r="C30" s="2" t="inlineStr">
        <is>
          <t xml:space="preserve"> ANDALUCIA</t>
        </is>
      </c>
      <c r="D30" s="2" t="inlineStr">
        <is>
          <t>GUATEMALA</t>
        </is>
      </c>
      <c r="E30" s="2" t="inlineStr">
        <is>
          <t>FRAIJANES</t>
        </is>
      </c>
      <c r="F30" s="2" t="inlineStr">
        <is>
          <t>KILOMETRO 16.5 CARRETERA A PAVÓN, RESIDENCIALES LOMA VERDE, FRAIJANES</t>
        </is>
      </c>
      <c r="G30" s="12" t="n"/>
      <c r="H30" s="2" t="n">
        <v>108044</v>
      </c>
      <c r="I30" s="2" t="inlineStr">
        <is>
          <t>ANDALUCIA GT980108</t>
        </is>
      </c>
      <c r="J30" t="n">
        <v>14.5369816</v>
      </c>
      <c r="K30" t="n">
        <v>-90.4514123</v>
      </c>
      <c r="L30" t="inlineStr">
        <is>
          <t>https://www.google.com/maps/d/viewer?mid=1GZpOQ49Rymf1VGjF7oDoiMDC81ZHrXrr</t>
        </is>
      </c>
      <c r="M30" t="inlineStr">
        <is>
          <t>2026-10-05</t>
        </is>
      </c>
      <c r="N30" t="inlineStr">
        <is>
          <t>UNO Andalucía</t>
        </is>
      </c>
    </row>
    <row r="31" ht="16.5" customHeight="1">
      <c r="A31" s="5" t="n"/>
      <c r="B31" s="5" t="n">
        <v>25</v>
      </c>
      <c r="C31" s="2" t="inlineStr">
        <is>
          <t xml:space="preserve"> CASAL</t>
        </is>
      </c>
      <c r="D31" s="2" t="inlineStr">
        <is>
          <t>GUATEMALA</t>
        </is>
      </c>
      <c r="E31" s="2" t="inlineStr">
        <is>
          <t>FRAIJANES</t>
        </is>
      </c>
      <c r="F31" s="2" t="inlineStr">
        <is>
          <t>KILOMETRO 19.4 CARRETERA A EL SALVADOR ILUMINADO VILLAS DEL PINAR FRAIJANES</t>
        </is>
      </c>
      <c r="G31" s="12" t="n"/>
      <c r="H31" s="2" t="n">
        <v>653477</v>
      </c>
      <c r="I31" s="2" t="inlineStr">
        <is>
          <t>CASAL- AG GT980108</t>
        </is>
      </c>
      <c r="J31" t="n">
        <v>14.5238038</v>
      </c>
      <c r="K31" t="n">
        <v>-90.4691467</v>
      </c>
      <c r="L31" t="inlineStr">
        <is>
          <t>https://www.google.com/maps/d/viewer?mid=1GZpOQ49Rymf1VGjF7oDoiMDC81ZHrXrr</t>
        </is>
      </c>
      <c r="M31" t="inlineStr">
        <is>
          <t>2026-10-05</t>
        </is>
      </c>
      <c r="N31" t="inlineStr">
        <is>
          <t>UNO Casal</t>
        </is>
      </c>
    </row>
    <row r="32" ht="16.5" customHeight="1">
      <c r="A32" s="5" t="n"/>
      <c r="B32" s="5" t="n">
        <v>26</v>
      </c>
      <c r="C32" s="2" t="inlineStr">
        <is>
          <t xml:space="preserve"> SAN JUAN SACATEPEQUEZ </t>
        </is>
      </c>
      <c r="D32" s="2" t="inlineStr">
        <is>
          <t>GUATEMALA</t>
        </is>
      </c>
      <c r="E32" s="2" t="inlineStr">
        <is>
          <t>SAN JUAN SACATEPEQUEZ</t>
        </is>
      </c>
      <c r="F32" s="2" t="inlineStr">
        <is>
          <t>KM 18.5 CARRETERA A SAN JUAN SACATEPÉQUEZ ALDEA EL NARANJITO ZONA 8 COLONIA BOSQUES LAS VICTORIAS</t>
        </is>
      </c>
      <c r="G32" s="12" t="n"/>
      <c r="H32" s="2" t="n">
        <v>606048</v>
      </c>
      <c r="I32" s="2" t="inlineStr">
        <is>
          <t>SAN JUAN SAC GT980108</t>
        </is>
      </c>
      <c r="J32" t="n">
        <v>14.6550438</v>
      </c>
      <c r="K32" t="n">
        <v>-90.59773029999999</v>
      </c>
      <c r="L32" t="inlineStr">
        <is>
          <t>https://www.google.com/maps/d/viewer?mid=1GZpOQ49Rymf1VGjF7oDoiMDC81ZHrXrr</t>
        </is>
      </c>
      <c r="M32" t="inlineStr">
        <is>
          <t>2026-10-05</t>
        </is>
      </c>
      <c r="N32" t="inlineStr">
        <is>
          <t>UNO San Juan Sacatepequez</t>
        </is>
      </c>
    </row>
    <row r="33" ht="16.5" customHeight="1">
      <c r="A33" s="5" t="n"/>
      <c r="B33" s="5" t="n">
        <v>27</v>
      </c>
      <c r="C33" s="2" t="inlineStr">
        <is>
          <t xml:space="preserve"> VICTORIAS PALIN</t>
        </is>
      </c>
      <c r="D33" s="2" t="inlineStr">
        <is>
          <t>ESCUINTLA</t>
        </is>
      </c>
      <c r="E33" s="2" t="inlineStr">
        <is>
          <t>PALIN</t>
        </is>
      </c>
      <c r="F33" s="2" t="inlineStr">
        <is>
          <t xml:space="preserve">KM 38.5 CARRETERA AL PACIFICO PALIN ESCUINTLA </t>
        </is>
      </c>
      <c r="G33" s="12" t="n"/>
      <c r="H33" s="2" t="n">
        <v>606043</v>
      </c>
      <c r="I33" s="2" t="inlineStr">
        <is>
          <t>VICTORIAS PALIN GT980108</t>
        </is>
      </c>
      <c r="J33" t="n">
        <v>14.4116203</v>
      </c>
      <c r="K33" t="n">
        <v>-90.68238909999999</v>
      </c>
      <c r="L33" t="inlineStr">
        <is>
          <t>https://www.google.com/maps/d/viewer?mid=1GZpOQ49Rymf1VGjF7oDoiMDC81ZHrXrr</t>
        </is>
      </c>
      <c r="M33" t="inlineStr">
        <is>
          <t>2026-10-05</t>
        </is>
      </c>
      <c r="N33" t="inlineStr">
        <is>
          <t>UNO Victorias Palín</t>
        </is>
      </c>
    </row>
    <row r="34" ht="16.5" customHeight="1">
      <c r="A34" s="9" t="inlineStr">
        <is>
          <t xml:space="preserve">T, pesado </t>
        </is>
      </c>
      <c r="B34" s="5" t="n">
        <v>28</v>
      </c>
      <c r="C34" s="2" t="inlineStr">
        <is>
          <t xml:space="preserve"> PUERTO DE SAN JOSE </t>
        </is>
      </c>
      <c r="D34" s="2" t="inlineStr">
        <is>
          <t>ESCUINTLA</t>
        </is>
      </c>
      <c r="E34" s="2" t="inlineStr">
        <is>
          <t>SAN JOSE</t>
        </is>
      </c>
      <c r="F34" s="2" t="inlineStr">
        <is>
          <t xml:space="preserve">KM 102 AUTOPISTA A ESCUINTLA  FINCA PORTUARIA PUERTO QUEZTAL ZONA 1 Y ZONA 5 PUERTO DE SAN JOSE </t>
        </is>
      </c>
      <c r="G34" s="12" t="inlineStr">
        <is>
          <t>SI</t>
        </is>
      </c>
      <c r="H34" s="2" t="n">
        <v>606050</v>
      </c>
      <c r="I34" s="2" t="inlineStr">
        <is>
          <t>PUERTO SAN JOSE GT980108</t>
        </is>
      </c>
      <c r="J34" t="n">
        <v>13.9313452</v>
      </c>
      <c r="K34" t="n">
        <v>-90.79745320000001</v>
      </c>
      <c r="L34" t="inlineStr">
        <is>
          <t>https://www.google.com/maps/d/viewer?mid=1GZpOQ49Rymf1VGjF7oDoiMDC81ZHrXrr</t>
        </is>
      </c>
      <c r="M34" t="inlineStr">
        <is>
          <t>2026-10-05</t>
        </is>
      </c>
      <c r="N34" t="inlineStr">
        <is>
          <t>UNO Puerto San José</t>
        </is>
      </c>
    </row>
    <row r="35" ht="16.5" customHeight="1">
      <c r="A35" s="9" t="inlineStr">
        <is>
          <t xml:space="preserve">T, pesado </t>
        </is>
      </c>
      <c r="B35" s="5" t="n">
        <v>29</v>
      </c>
      <c r="C35" s="2" t="inlineStr">
        <is>
          <t xml:space="preserve"> SUR</t>
        </is>
      </c>
      <c r="D35" s="2" t="inlineStr">
        <is>
          <t>ESCUINTLA</t>
        </is>
      </c>
      <c r="E35" s="2" t="inlineStr">
        <is>
          <t>SAN JOSE</t>
        </is>
      </c>
      <c r="F35" s="2" t="inlineStr">
        <is>
          <t>CALLE PRINCIPAL BARRIO LA ARENERA LOTE 2-68 PUERTO SAN JOSE ESCUINTLA</t>
        </is>
      </c>
      <c r="G35" s="12" t="n"/>
      <c r="H35" s="2" t="n">
        <v>653507</v>
      </c>
      <c r="I35" s="2" t="inlineStr">
        <is>
          <t>SUR GT980108</t>
        </is>
      </c>
      <c r="J35" t="n">
        <v>13.9287608</v>
      </c>
      <c r="K35" t="n">
        <v>-90.818394</v>
      </c>
      <c r="L35" t="inlineStr">
        <is>
          <t>https://www.google.com/maps/d/viewer?mid=1GZpOQ49Rymf1VGjF7oDoiMDC81ZHrXrr</t>
        </is>
      </c>
      <c r="M35" t="inlineStr">
        <is>
          <t>2026-10-05</t>
        </is>
      </c>
      <c r="N35" t="inlineStr">
        <is>
          <t>UNO Sur Pto. San José</t>
        </is>
      </c>
    </row>
    <row r="36" ht="16.5" customHeight="1">
      <c r="A36" s="5" t="n"/>
      <c r="B36" s="5" t="n">
        <v>30</v>
      </c>
      <c r="C36" s="2" t="inlineStr">
        <is>
          <t xml:space="preserve"> SANTA LUCIA</t>
        </is>
      </c>
      <c r="D36" s="2" t="inlineStr">
        <is>
          <t>ESCUINTLA</t>
        </is>
      </c>
      <c r="E36" s="2" t="inlineStr">
        <is>
          <t>SANTA LUCIA COTZUMALGUAPA</t>
        </is>
      </c>
      <c r="F36" s="2" t="inlineStr">
        <is>
          <t>KILOMETRO 89.5 CARRETERA AL PACIFICO, SANTA LUCIA COTZUMALGUAPA, ESCUINTLA</t>
        </is>
      </c>
      <c r="G36" s="12" t="n"/>
      <c r="H36" s="2" t="n">
        <v>606183</v>
      </c>
      <c r="I36" s="2" t="inlineStr">
        <is>
          <t>SANTA LUCIA GT980108</t>
        </is>
      </c>
      <c r="J36" t="n">
        <v>14.3277136</v>
      </c>
      <c r="K36" t="n">
        <v>-91.02335600000001</v>
      </c>
      <c r="L36" t="inlineStr">
        <is>
          <t>https://www.google.com/maps/d/viewer?mid=1GZpOQ49Rymf1VGjF7oDoiMDC81ZHrXrr</t>
        </is>
      </c>
      <c r="M36" t="inlineStr">
        <is>
          <t>2026-10-05</t>
        </is>
      </c>
      <c r="N36" t="inlineStr">
        <is>
          <t>UNO Santa Lucía</t>
        </is>
      </c>
    </row>
    <row r="37" ht="16.5" customHeight="1">
      <c r="A37" s="5" t="n"/>
      <c r="B37" s="5" t="n">
        <v>31</v>
      </c>
      <c r="C37" s="2" t="inlineStr">
        <is>
          <t xml:space="preserve"> COCALES</t>
        </is>
      </c>
      <c r="D37" s="2" t="inlineStr">
        <is>
          <t>SUCHITEPEQUEZ</t>
        </is>
      </c>
      <c r="E37" s="2" t="inlineStr">
        <is>
          <t>PATULUL</t>
        </is>
      </c>
      <c r="F37" s="2" t="inlineStr">
        <is>
          <t>KM 110 CARRETERA CA-2 COCALES, PATULUL, SUCHITEPEQUEZ</t>
        </is>
      </c>
      <c r="G37" s="12" t="inlineStr">
        <is>
          <t>SI</t>
        </is>
      </c>
      <c r="H37" s="2" t="n">
        <v>108106</v>
      </c>
      <c r="I37" s="2" t="inlineStr">
        <is>
          <t>COCALES GT980108</t>
        </is>
      </c>
      <c r="J37" t="n">
        <v>14.3923388</v>
      </c>
      <c r="K37" t="n">
        <v>-91.1935182</v>
      </c>
      <c r="L37" t="inlineStr">
        <is>
          <t>https://www.google.com/maps/d/viewer?mid=1GZpOQ49Rymf1VGjF7oDoiMDC81ZHrXrr</t>
        </is>
      </c>
      <c r="M37" t="inlineStr">
        <is>
          <t>2026-10-05</t>
        </is>
      </c>
      <c r="N37" t="inlineStr">
        <is>
          <t>UNO Cocales</t>
        </is>
      </c>
    </row>
    <row r="38" ht="16.5" customHeight="1">
      <c r="A38" s="5" t="n"/>
      <c r="B38" s="5" t="n">
        <v>32</v>
      </c>
      <c r="C38" s="2" t="inlineStr">
        <is>
          <t xml:space="preserve"> SAN ANTONIO SUCHITEPEQUEZ</t>
        </is>
      </c>
      <c r="D38" s="2" t="inlineStr">
        <is>
          <t>SUCHITEPEQUEZ</t>
        </is>
      </c>
      <c r="E38" s="2" t="inlineStr">
        <is>
          <t>SAN ANTONIO SUCHITEPEQUEZ</t>
        </is>
      </c>
      <c r="F38" s="2" t="inlineStr">
        <is>
          <t>CARRETERA INTERAMERICANA KM 148.2 SAN ANTONIO SUCHITEPEQUEZ</t>
        </is>
      </c>
      <c r="G38" s="12" t="n"/>
      <c r="H38" s="2" t="n">
        <v>108097</v>
      </c>
      <c r="I38" s="2" t="inlineStr">
        <is>
          <t>SAN ANTONIO SUCHITEPEQUEZ GT980108</t>
        </is>
      </c>
      <c r="J38" t="n">
        <v>14.5397904</v>
      </c>
      <c r="K38" t="n">
        <v>-91.42448829999999</v>
      </c>
      <c r="L38" t="inlineStr">
        <is>
          <t>https://www.google.com/maps/d/viewer?mid=1GZpOQ49Rymf1VGjF7oDoiMDC81ZHrXrr</t>
        </is>
      </c>
      <c r="M38" t="inlineStr">
        <is>
          <t>2026-10-05</t>
        </is>
      </c>
      <c r="N38" t="inlineStr">
        <is>
          <t>UNO SAN ANTONIO SUCHI</t>
        </is>
      </c>
    </row>
    <row r="39" ht="16.5" customHeight="1">
      <c r="A39" s="5" t="n"/>
      <c r="B39" s="5" t="n">
        <v>33</v>
      </c>
      <c r="C39" s="2" t="inlineStr">
        <is>
          <t xml:space="preserve"> EL MOTORISTA</t>
        </is>
      </c>
      <c r="D39" s="2" t="inlineStr">
        <is>
          <t>SUCHITEPEQUEZ</t>
        </is>
      </c>
      <c r="E39" s="2" t="inlineStr">
        <is>
          <t>SAN BERNARDINO</t>
        </is>
      </c>
      <c r="F39" s="2" t="inlineStr">
        <is>
          <t>VUELTA DEL MOTORISTA CANTON EL SAUCE, KM 158.5 A MAZATENANGO ENTRADA SAMAYAC, SAN BERNARDINO, SUCHITEPEQUEZ</t>
        </is>
      </c>
      <c r="G39" s="12" t="n"/>
      <c r="H39" s="2" t="n">
        <v>606105</v>
      </c>
      <c r="I39" s="2" t="inlineStr">
        <is>
          <t>EL MOTORISTA GT980108</t>
        </is>
      </c>
      <c r="J39" t="n">
        <v>14.5315861</v>
      </c>
      <c r="K39" t="n">
        <v>-91.50634049999999</v>
      </c>
      <c r="L39" t="inlineStr">
        <is>
          <t>https://www.google.com/maps/d/viewer?mid=1GZpOQ49Rymf1VGjF7oDoiMDC81ZHrXrr</t>
        </is>
      </c>
      <c r="M39" t="inlineStr">
        <is>
          <t>2026-10-05</t>
        </is>
      </c>
      <c r="N39" t="inlineStr">
        <is>
          <t>UNO El Motorista</t>
        </is>
      </c>
    </row>
    <row r="40" ht="16.5" customHeight="1">
      <c r="A40" s="5" t="n"/>
      <c r="B40" s="5" t="n">
        <v>34</v>
      </c>
      <c r="C40" s="2" t="inlineStr">
        <is>
          <t xml:space="preserve"> MAZATENANGO (SAN BERNARDINO)</t>
        </is>
      </c>
      <c r="D40" s="2" t="inlineStr">
        <is>
          <t>SUCHITEPEQUEZ</t>
        </is>
      </c>
      <c r="E40" s="2" t="inlineStr">
        <is>
          <t>SAN BERNARDINO</t>
        </is>
      </c>
      <c r="F40" s="2" t="inlineStr">
        <is>
          <t>KM 156 CARRETERA CA-2 MAZATENANGO SUCHITEPÉQUEZ</t>
        </is>
      </c>
      <c r="G40" s="12" t="n"/>
      <c r="H40" s="2" t="n">
        <v>606051</v>
      </c>
      <c r="I40" s="2" t="inlineStr">
        <is>
          <t>SAN BERNARDINO GT980108</t>
        </is>
      </c>
    </row>
    <row r="41" ht="16.5" customHeight="1">
      <c r="A41" s="5" t="n"/>
      <c r="B41" s="5" t="n">
        <v>35</v>
      </c>
      <c r="C41" s="2" t="inlineStr">
        <is>
          <t xml:space="preserve"> MAZATENANGO II</t>
        </is>
      </c>
      <c r="D41" s="2" t="inlineStr">
        <is>
          <t>SUCHITEPEQUEZ</t>
        </is>
      </c>
      <c r="E41" s="2" t="inlineStr">
        <is>
          <t>MAZATENANGO</t>
        </is>
      </c>
      <c r="F41" s="2" t="inlineStr">
        <is>
          <t>KM 164.1 CARRETERA CA-2 MAZATENANGO SUCHITEPEQUEZ</t>
        </is>
      </c>
      <c r="G41" s="12" t="n"/>
      <c r="H41" s="2" t="n">
        <v>108095</v>
      </c>
      <c r="I41" s="2" t="inlineStr">
        <is>
          <t>MAZATENANGO II GT980108</t>
        </is>
      </c>
    </row>
    <row r="42" ht="16.5" customHeight="1">
      <c r="A42" s="5" t="n"/>
      <c r="B42" s="5" t="n">
        <v>36</v>
      </c>
      <c r="C42" s="2" t="inlineStr">
        <is>
          <t xml:space="preserve"> SAN SEBASTIAN</t>
        </is>
      </c>
      <c r="D42" s="2" t="inlineStr">
        <is>
          <t>RETALHULEU</t>
        </is>
      </c>
      <c r="E42" s="2" t="inlineStr">
        <is>
          <t>SAN SEBASTIAN</t>
        </is>
      </c>
      <c r="F42" s="2" t="inlineStr">
        <is>
          <t>KM 178 CARRETERA INTERAMERICANA CA-2 SAN SEBASTIAN RETALHULEU</t>
        </is>
      </c>
      <c r="G42" s="12" t="n"/>
      <c r="H42" s="2" t="n">
        <v>108100</v>
      </c>
      <c r="I42" s="2" t="inlineStr">
        <is>
          <t>SAN SEBASTIAN GT980108</t>
        </is>
      </c>
      <c r="J42" t="n">
        <v>14.5713444</v>
      </c>
      <c r="K42" t="n">
        <v>-91.6560496</v>
      </c>
      <c r="L42" t="inlineStr">
        <is>
          <t>https://www.google.com/maps/d/viewer?mid=1GZpOQ49Rymf1VGjF7oDoiMDC81ZHrXrr</t>
        </is>
      </c>
      <c r="M42" t="inlineStr">
        <is>
          <t>2026-10-05</t>
        </is>
      </c>
      <c r="N42" t="inlineStr">
        <is>
          <t>UNO San Sebastian</t>
        </is>
      </c>
    </row>
    <row r="43" ht="16.5" customHeight="1">
      <c r="A43" s="5" t="n"/>
      <c r="B43" s="5" t="n">
        <v>37</v>
      </c>
      <c r="C43" s="2" t="inlineStr">
        <is>
          <t xml:space="preserve"> LOS LAURELES COATEPEQUE</t>
        </is>
      </c>
      <c r="D43" s="2" t="inlineStr">
        <is>
          <t>QUETZALTENANGO</t>
        </is>
      </c>
      <c r="E43" s="2" t="inlineStr">
        <is>
          <t>COATEPEQUE</t>
        </is>
      </c>
      <c r="F43" s="2" t="inlineStr">
        <is>
          <t>KM 231 CARRETERA A TECUN HUMAN LOTIFICACION LOS LAURELES, COATEPEQUE, QUETZALTENANGO</t>
        </is>
      </c>
      <c r="G43" s="12" t="n"/>
      <c r="H43" s="2" t="n">
        <v>606186</v>
      </c>
      <c r="I43" s="2" t="inlineStr">
        <is>
          <t>LOS LAURELES COATEPEQUE GT980108</t>
        </is>
      </c>
      <c r="J43" t="n">
        <v>14.6946</v>
      </c>
      <c r="K43" t="n">
        <v>-91.96339399999999</v>
      </c>
      <c r="L43" t="inlineStr">
        <is>
          <t>https://www.google.com/maps/d/viewer?mid=1GZpOQ49Rymf1VGjF7oDoiMDC81ZHrXrr</t>
        </is>
      </c>
      <c r="M43" t="inlineStr">
        <is>
          <t>2026-10-05</t>
        </is>
      </c>
      <c r="N43" t="inlineStr">
        <is>
          <t>UNO Los Laureles Coatepeque</t>
        </is>
      </c>
    </row>
    <row r="44" ht="16.5" customHeight="1">
      <c r="A44" s="5" t="n"/>
      <c r="B44" s="5" t="n">
        <v>38</v>
      </c>
      <c r="C44" s="2" t="inlineStr">
        <is>
          <t xml:space="preserve"> CENTRO QUETZALTENANGO</t>
        </is>
      </c>
      <c r="D44" s="2" t="inlineStr">
        <is>
          <t>QUETZALTENANGO</t>
        </is>
      </c>
      <c r="E44" s="2" t="inlineStr">
        <is>
          <t>QUETZALTENANGO</t>
        </is>
      </c>
      <c r="F44" s="2" t="inlineStr">
        <is>
          <t>07 AVENIDA 00-61 ZONA 01 QUETZALTENANGO</t>
        </is>
      </c>
      <c r="G44" s="12" t="n"/>
      <c r="H44" s="2" t="n">
        <v>108093</v>
      </c>
      <c r="I44" s="2" t="inlineStr">
        <is>
          <t>CENTRO QUETZALTENANGO GT980108</t>
        </is>
      </c>
      <c r="J44" t="n">
        <v>14.8682403</v>
      </c>
      <c r="K44" t="n">
        <v>-91.5656529</v>
      </c>
      <c r="L44" t="inlineStr">
        <is>
          <t>https://www.google.com/maps/d/viewer?mid=1GZpOQ49Rymf1VGjF7oDoiMDC81ZHrXrr</t>
        </is>
      </c>
      <c r="M44" t="inlineStr">
        <is>
          <t>2026-10-05</t>
        </is>
      </c>
      <c r="N44" t="inlineStr">
        <is>
          <t>UNO Centro Quetzaltenango</t>
        </is>
      </c>
    </row>
    <row r="45" ht="16.5" customHeight="1">
      <c r="A45" s="5" t="n"/>
      <c r="B45" s="5" t="n">
        <v>39</v>
      </c>
      <c r="C45" s="2" t="inlineStr">
        <is>
          <t xml:space="preserve"> TECUN XELA</t>
        </is>
      </c>
      <c r="D45" s="2" t="inlineStr">
        <is>
          <t>QUETZALTENANGO</t>
        </is>
      </c>
      <c r="E45" s="2" t="inlineStr">
        <is>
          <t>QUETZALTENANGO</t>
        </is>
      </c>
      <c r="F45" s="2" t="inlineStr">
        <is>
          <t>29 AVENIDA 04-08 ZONA 7 QUETZALTENANGO</t>
        </is>
      </c>
      <c r="G45" s="12" t="n"/>
      <c r="H45" s="2" t="n">
        <v>108101</v>
      </c>
      <c r="I45" s="2" t="inlineStr">
        <is>
          <t>TECUN XELA GT980108</t>
        </is>
      </c>
      <c r="J45" t="n">
        <v>14.854508</v>
      </c>
      <c r="K45" t="n">
        <v>-91.5216846</v>
      </c>
      <c r="L45" t="inlineStr">
        <is>
          <t>https://www.google.com/maps/d/viewer?mid=1GZpOQ49Rymf1VGjF7oDoiMDC81ZHrXrr</t>
        </is>
      </c>
      <c r="M45" t="inlineStr">
        <is>
          <t>2026-10-05</t>
        </is>
      </c>
      <c r="N45" t="inlineStr">
        <is>
          <t>UNO Tecún Xela</t>
        </is>
      </c>
    </row>
    <row r="46" ht="16.5" customHeight="1">
      <c r="A46" s="5" t="n"/>
      <c r="B46" s="5" t="n">
        <v>40</v>
      </c>
      <c r="C46" s="2" t="inlineStr">
        <is>
          <t xml:space="preserve"> ALMOLONGA</t>
        </is>
      </c>
      <c r="D46" s="2" t="inlineStr">
        <is>
          <t>QUETZALTENANGO</t>
        </is>
      </c>
      <c r="E46" s="2" t="inlineStr">
        <is>
          <t>ALMOLONGA</t>
        </is>
      </c>
      <c r="F46" s="2" t="inlineStr">
        <is>
          <t>9NA. AVENIDA 0-31 ZONA 4, QUETZALTENANGO</t>
        </is>
      </c>
      <c r="G46" s="12" t="n"/>
      <c r="H46" s="2" t="n">
        <v>108072</v>
      </c>
      <c r="I46" s="2" t="inlineStr">
        <is>
          <t>ALMOLONGA GT980108</t>
        </is>
      </c>
      <c r="J46" t="n">
        <v>14.8246126</v>
      </c>
      <c r="K46" t="n">
        <v>-91.51676139999999</v>
      </c>
      <c r="L46" t="inlineStr">
        <is>
          <t>https://www.google.com/maps/d/viewer?mid=1GZpOQ49Rymf1VGjF7oDoiMDC81ZHrXrr</t>
        </is>
      </c>
      <c r="M46" t="inlineStr">
        <is>
          <t>2026-10-05</t>
        </is>
      </c>
      <c r="N46" t="inlineStr">
        <is>
          <t>UNO Almolonga</t>
        </is>
      </c>
    </row>
    <row r="47" ht="16.5" customHeight="1">
      <c r="A47" s="10" t="n"/>
      <c r="B47" s="5" t="n">
        <v>41</v>
      </c>
      <c r="C47" s="3" t="inlineStr">
        <is>
          <t xml:space="preserve"> LLANO GRANDE</t>
        </is>
      </c>
      <c r="D47" s="3" t="inlineStr">
        <is>
          <t>QUETZALTENANGO</t>
        </is>
      </c>
      <c r="E47" s="3" t="inlineStr">
        <is>
          <t>SALCAJA</t>
        </is>
      </c>
      <c r="F47" s="3" t="inlineStr">
        <is>
          <t>KM 191 CARRETERA INTERAMERICANA SALCAJA QUETZALTENANGO</t>
        </is>
      </c>
      <c r="G47" s="12" t="n"/>
      <c r="H47" s="2" t="n">
        <v>108094</v>
      </c>
      <c r="I47" s="2" t="inlineStr">
        <is>
          <t>LLANO GRANDE GT980108</t>
        </is>
      </c>
      <c r="J47" t="n">
        <v>14.9473628</v>
      </c>
      <c r="K47" t="n">
        <v>-91.45330850000001</v>
      </c>
      <c r="L47" t="inlineStr">
        <is>
          <t>https://www.google.com/maps/d/viewer?mid=1GZpOQ49Rymf1VGjF7oDoiMDC81ZHrXrr</t>
        </is>
      </c>
      <c r="M47" t="inlineStr">
        <is>
          <t>2026-10-05</t>
        </is>
      </c>
      <c r="N47" t="inlineStr">
        <is>
          <t>UNO Llano Grande</t>
        </is>
      </c>
    </row>
    <row r="48" ht="16.5" customHeight="1">
      <c r="A48" s="10" t="n"/>
      <c r="B48" s="5" t="n">
        <v>42</v>
      </c>
      <c r="C48" s="3" t="inlineStr">
        <is>
          <t xml:space="preserve"> LOS SAUCES XELA</t>
        </is>
      </c>
      <c r="D48" s="3" t="inlineStr">
        <is>
          <t>QUETZALTENANGO</t>
        </is>
      </c>
      <c r="E48" s="3" t="inlineStr">
        <is>
          <t>SAN MATEO</t>
        </is>
      </c>
      <c r="F48" s="3" t="inlineStr">
        <is>
          <t>3 CALLE 03-46 ZONA 3 KM 209.5 CARRETERA INTERAMERICANA SAN MATEO, QUETZALTENANGO</t>
        </is>
      </c>
      <c r="G48" s="12" t="inlineStr">
        <is>
          <t>SI</t>
        </is>
      </c>
      <c r="H48" s="2" t="n">
        <v>605997</v>
      </c>
      <c r="I48" s="2" t="inlineStr">
        <is>
          <t>LOS SAUCES XELA GT980108</t>
        </is>
      </c>
    </row>
    <row r="49" ht="16.5" customHeight="1">
      <c r="A49" s="10" t="n"/>
      <c r="B49" s="5" t="n">
        <v>43</v>
      </c>
      <c r="C49" s="3" t="inlineStr">
        <is>
          <t xml:space="preserve"> SAN MATEO</t>
        </is>
      </c>
      <c r="D49" s="3" t="inlineStr">
        <is>
          <t>QUETZALTENANGO</t>
        </is>
      </c>
      <c r="E49" s="3" t="inlineStr">
        <is>
          <t>SAN MATEO</t>
        </is>
      </c>
      <c r="F49" s="3" t="inlineStr">
        <is>
          <t>ALDEA LOS CAYAX KM 209.5 CARRETERA INTERAMERICANA SAN MATEO, QUETZALTENANGO</t>
        </is>
      </c>
      <c r="G49" s="12" t="n"/>
      <c r="H49" s="2" t="n">
        <v>108099</v>
      </c>
      <c r="I49" s="2" t="inlineStr">
        <is>
          <t>SAN MATEO GT980108</t>
        </is>
      </c>
      <c r="J49" t="n">
        <v>14.8564984</v>
      </c>
      <c r="K49" t="n">
        <v>-91.5874809</v>
      </c>
      <c r="L49" t="inlineStr">
        <is>
          <t>https://www.google.com/maps/d/viewer?mid=1GZpOQ49Rymf1VGjF7oDoiMDC81ZHrXrr</t>
        </is>
      </c>
      <c r="M49" t="inlineStr">
        <is>
          <t>2026-10-05</t>
        </is>
      </c>
      <c r="N49" t="inlineStr">
        <is>
          <t>UNO San Mateo</t>
        </is>
      </c>
    </row>
    <row r="50" ht="16.5" customHeight="1">
      <c r="A50" s="10" t="n"/>
      <c r="B50" s="5" t="n">
        <v>44</v>
      </c>
      <c r="C50" s="3" t="inlineStr">
        <is>
          <t xml:space="preserve"> CANTEL</t>
        </is>
      </c>
      <c r="D50" s="3" t="inlineStr">
        <is>
          <t>QUETZALTENANGO</t>
        </is>
      </c>
      <c r="E50" s="3" t="inlineStr">
        <is>
          <t>CANTEL</t>
        </is>
      </c>
      <c r="F50" s="3" t="inlineStr">
        <is>
          <t>KM 217 CARRETERA INTERTRONCAL DE OCCIDENTE CANTEL QUETZALTENANGO</t>
        </is>
      </c>
      <c r="G50" s="12" t="n"/>
      <c r="H50" s="2" t="n">
        <v>108092</v>
      </c>
      <c r="I50" s="2" t="inlineStr">
        <is>
          <t>CANTEL GT980108</t>
        </is>
      </c>
      <c r="J50" t="n">
        <v>14.80761</v>
      </c>
      <c r="K50" t="n">
        <v>-91.4515193</v>
      </c>
      <c r="L50" t="inlineStr">
        <is>
          <t>https://www.google.com/maps/d/viewer?mid=1GZpOQ49Rymf1VGjF7oDoiMDC81ZHrXrr</t>
        </is>
      </c>
      <c r="M50" t="inlineStr">
        <is>
          <t>2026-10-05</t>
        </is>
      </c>
      <c r="N50" t="inlineStr">
        <is>
          <t>UNO Cantel</t>
        </is>
      </c>
    </row>
    <row r="51" ht="16.5" customHeight="1">
      <c r="A51" s="10" t="n"/>
      <c r="B51" s="5" t="n">
        <v>45</v>
      </c>
      <c r="C51" s="3" t="inlineStr">
        <is>
          <t xml:space="preserve"> SAN CARLOS SIJA</t>
        </is>
      </c>
      <c r="D51" s="3" t="inlineStr">
        <is>
          <t>QUETZALTENANGO</t>
        </is>
      </c>
      <c r="E51" s="3" t="inlineStr">
        <is>
          <t>SAN CARLOS SIJA</t>
        </is>
      </c>
      <c r="F51" s="3" t="inlineStr">
        <is>
          <t>ALDEA ESTANCIA DE LA VIRGEN, KM 234.5 CARRETERA INTERAMERICANA, SAN CARLOS SIJA, QUETZALTENANGO</t>
        </is>
      </c>
      <c r="G51" s="12" t="n"/>
      <c r="H51" s="2" t="n">
        <v>108928</v>
      </c>
      <c r="I51" s="2" t="inlineStr">
        <is>
          <t>SAN CARLOS SIJA GT980108</t>
        </is>
      </c>
    </row>
    <row r="52" ht="16.5" customHeight="1">
      <c r="A52" s="10" t="n"/>
      <c r="B52" s="5" t="n">
        <v>46</v>
      </c>
      <c r="C52" s="3" t="inlineStr">
        <is>
          <t xml:space="preserve"> TERMINAL HUEHUETENANGO</t>
        </is>
      </c>
      <c r="D52" s="3" t="inlineStr">
        <is>
          <t>HUEHUETENANGO</t>
        </is>
      </c>
      <c r="E52" s="3" t="inlineStr">
        <is>
          <t>HUEHUETENANGO</t>
        </is>
      </c>
      <c r="F52" s="3" t="inlineStr">
        <is>
          <t>09 CALLE 12-97 ZONA 05 CANTON SAN JOSE HUEHUETENANGO</t>
        </is>
      </c>
      <c r="G52" s="12" t="n"/>
      <c r="H52" s="2" t="n">
        <v>108102</v>
      </c>
      <c r="I52" s="2" t="inlineStr">
        <is>
          <t>TERMINAL HUEHUETENANGO GT980108</t>
        </is>
      </c>
      <c r="J52" t="n">
        <v>15.3112572</v>
      </c>
      <c r="K52" t="n">
        <v>-91.47882370000001</v>
      </c>
      <c r="L52" t="inlineStr">
        <is>
          <t>https://www.google.com/maps/d/viewer?mid=1GZpOQ49Rymf1VGjF7oDoiMDC81ZHrXrr</t>
        </is>
      </c>
      <c r="M52" t="inlineStr">
        <is>
          <t>2026-10-05</t>
        </is>
      </c>
      <c r="N52" t="inlineStr">
        <is>
          <t>UNO Terminal Huehuetenango</t>
        </is>
      </c>
    </row>
    <row r="53" ht="16.5" customHeight="1">
      <c r="A53" s="10" t="n"/>
      <c r="B53" s="5" t="n">
        <v>47</v>
      </c>
      <c r="C53" s="3" t="inlineStr">
        <is>
          <t xml:space="preserve"> EL PEÑON </t>
        </is>
      </c>
      <c r="D53" s="3" t="inlineStr">
        <is>
          <t>HUEHUETENANGO</t>
        </is>
      </c>
      <c r="E53" s="3" t="inlineStr">
        <is>
          <t>HUEHUETENANGO</t>
        </is>
      </c>
      <c r="F53" s="3" t="inlineStr">
        <is>
          <t>KM 256.5 CARRETERA INTERAMERICANA, ALDEA TOJOCAZ, HUEHUETENANGO</t>
        </is>
      </c>
      <c r="G53" s="12" t="n"/>
      <c r="H53" s="2" t="n">
        <v>606191</v>
      </c>
      <c r="I53" s="2" t="inlineStr">
        <is>
          <t>EL PENON GT980108</t>
        </is>
      </c>
      <c r="J53" t="n">
        <v>15.2929646</v>
      </c>
      <c r="K53" t="n">
        <v>-91.4873333</v>
      </c>
      <c r="L53" t="inlineStr">
        <is>
          <t>https://www.google.com/maps/d/viewer?mid=1GZpOQ49Rymf1VGjF7oDoiMDC81ZHrXrr</t>
        </is>
      </c>
      <c r="M53" t="inlineStr">
        <is>
          <t>2026-10-05</t>
        </is>
      </c>
      <c r="N53" t="inlineStr">
        <is>
          <t>UNO • El Peñon</t>
        </is>
      </c>
    </row>
    <row r="54" ht="16.5" customHeight="1">
      <c r="A54" s="10" t="n"/>
      <c r="B54" s="5" t="n">
        <v>48</v>
      </c>
      <c r="C54" s="3" t="inlineStr">
        <is>
          <t xml:space="preserve"> LA CAPELLANIA</t>
        </is>
      </c>
      <c r="D54" s="3" t="inlineStr">
        <is>
          <t>HUEHUETENANGO</t>
        </is>
      </c>
      <c r="E54" s="3" t="inlineStr">
        <is>
          <t>CHIANTLA</t>
        </is>
      </c>
      <c r="F54" s="3" t="inlineStr">
        <is>
          <t>ALDEA LA CAPELLANIA KM.282 CHIANTLA, HUEHUETENANGO</t>
        </is>
      </c>
      <c r="G54" s="12" t="n"/>
      <c r="H54" s="2" t="n">
        <v>108931</v>
      </c>
      <c r="I54" s="2" t="inlineStr">
        <is>
          <t>LA CAPELLANIA GT980108</t>
        </is>
      </c>
      <c r="J54" t="n">
        <v>15.3596486</v>
      </c>
      <c r="K54" t="n">
        <v>-91.45192710000001</v>
      </c>
      <c r="L54" t="inlineStr">
        <is>
          <t>https://www.google.com/maps/d/viewer?mid=1GZpOQ49Rymf1VGjF7oDoiMDC81ZHrXrr</t>
        </is>
      </c>
      <c r="M54" t="inlineStr">
        <is>
          <t>2026-10-05</t>
        </is>
      </c>
      <c r="N54" t="inlineStr">
        <is>
          <t>UNO Capellanía</t>
        </is>
      </c>
    </row>
    <row r="55" ht="16.5" customHeight="1">
      <c r="A55" s="10" t="n"/>
      <c r="B55" s="5" t="n">
        <v>49</v>
      </c>
      <c r="C55" s="3" t="inlineStr">
        <is>
          <t xml:space="preserve"> MONTE ALTO</t>
        </is>
      </c>
      <c r="D55" s="3" t="inlineStr">
        <is>
          <t>SAN MARCOS</t>
        </is>
      </c>
      <c r="E55" s="3" t="inlineStr">
        <is>
          <t>SAN PEDRO SACATEPEQUEZ</t>
        </is>
      </c>
      <c r="F55" s="3" t="inlineStr">
        <is>
          <t xml:space="preserve">KM 243 CARRETERA INTERAMERICANA ALDEA SAN ISIDRO CHAMAC SAN PEDRO </t>
        </is>
      </c>
      <c r="G55" s="12" t="n"/>
      <c r="H55" s="2" t="n">
        <v>108096</v>
      </c>
      <c r="I55" s="2" t="inlineStr">
        <is>
          <t>MONTE ALTO GT980108</t>
        </is>
      </c>
      <c r="J55" t="n">
        <v>14.9675954</v>
      </c>
      <c r="K55" t="n">
        <v>-91.7572074</v>
      </c>
      <c r="L55" t="inlineStr">
        <is>
          <t>https://www.google.com/maps/d/viewer?mid=1GZpOQ49Rymf1VGjF7oDoiMDC81ZHrXrr</t>
        </is>
      </c>
      <c r="M55" t="inlineStr">
        <is>
          <t>2026-10-05</t>
        </is>
      </c>
      <c r="N55" t="inlineStr">
        <is>
          <t>UNO MONTE ALTO</t>
        </is>
      </c>
    </row>
    <row r="56" ht="16.5" customHeight="1">
      <c r="A56" s="10" t="n"/>
      <c r="B56" s="5" t="n">
        <v>50</v>
      </c>
      <c r="C56" s="3" t="inlineStr">
        <is>
          <t xml:space="preserve"> EL MANÁ</t>
        </is>
      </c>
      <c r="D56" s="3" t="inlineStr">
        <is>
          <t>QUICHE</t>
        </is>
      </c>
      <c r="E56" s="3" t="inlineStr">
        <is>
          <t>SANTA CRUZ DEL QUICHE</t>
        </is>
      </c>
      <c r="F56" s="3" t="inlineStr">
        <is>
          <t xml:space="preserve">FINAL LOS CHORECALES KILOMETRO 166.5, SANTA CRUZ DEL QUICHE, QUICHE </t>
        </is>
      </c>
      <c r="G56" s="12" t="n"/>
      <c r="H56" s="2" t="n">
        <v>108088</v>
      </c>
      <c r="I56" s="2" t="inlineStr">
        <is>
          <t>EL MANA GT980108</t>
        </is>
      </c>
      <c r="J56" t="n">
        <v>15.0525914</v>
      </c>
      <c r="K56" t="n">
        <v>-91.1548629</v>
      </c>
      <c r="L56" t="inlineStr">
        <is>
          <t>https://www.google.com/maps/d/viewer?mid=1GZpOQ49Rymf1VGjF7oDoiMDC81ZHrXrr</t>
        </is>
      </c>
      <c r="M56" t="inlineStr">
        <is>
          <t>2026-10-05</t>
        </is>
      </c>
      <c r="N56" t="inlineStr">
        <is>
          <t>UNO El Maná</t>
        </is>
      </c>
    </row>
    <row r="57" ht="16.5" customHeight="1">
      <c r="A57" s="10" t="n"/>
      <c r="B57" s="5" t="n">
        <v>51</v>
      </c>
      <c r="C57" s="3" t="inlineStr">
        <is>
          <t xml:space="preserve"> SANTA CRUZ DEL QUICHÉ</t>
        </is>
      </c>
      <c r="D57" s="3" t="inlineStr">
        <is>
          <t>QUICHE</t>
        </is>
      </c>
      <c r="E57" s="3" t="inlineStr">
        <is>
          <t>SANTA CRUZ DEL QUICHE</t>
        </is>
      </c>
      <c r="F57" s="3" t="inlineStr">
        <is>
          <t xml:space="preserve">12 CALLE 02-01, ZONA 04, SANTA CRUZ DEL QUICHE </t>
        </is>
      </c>
      <c r="G57" s="12" t="n"/>
      <c r="H57" s="2" t="n">
        <v>108089</v>
      </c>
      <c r="I57" s="2" t="inlineStr">
        <is>
          <t>SANTA CRUZ DEL QUICHE GT980108</t>
        </is>
      </c>
      <c r="J57" t="n">
        <v>15.0254011</v>
      </c>
      <c r="K57" t="n">
        <v>-91.1493105</v>
      </c>
      <c r="L57" t="inlineStr">
        <is>
          <t>https://www.google.com/maps/d/viewer?mid=1GZpOQ49Rymf1VGjF7oDoiMDC81ZHrXrr</t>
        </is>
      </c>
      <c r="M57" t="inlineStr">
        <is>
          <t>2026-10-05</t>
        </is>
      </c>
      <c r="N57" t="inlineStr">
        <is>
          <t xml:space="preserve">UNO Santa Cruz, Quiché </t>
        </is>
      </c>
    </row>
    <row r="58" ht="16.5" customHeight="1">
      <c r="A58" s="10" t="n"/>
      <c r="B58" s="5" t="n">
        <v>52</v>
      </c>
      <c r="C58" s="3" t="inlineStr">
        <is>
          <t xml:space="preserve"> SAN CRISTOBAL TOTONICAPAN</t>
        </is>
      </c>
      <c r="D58" s="3" t="inlineStr">
        <is>
          <t>TOTONICAPAN</t>
        </is>
      </c>
      <c r="E58" s="3" t="inlineStr">
        <is>
          <t>SAN CRISTOBAL TOTONICAPAN</t>
        </is>
      </c>
      <c r="F58" s="3" t="inlineStr">
        <is>
          <t>KM 188 CARRETERA INTERAMERICANA SAN CRISTOBAL TOTONICAPAN</t>
        </is>
      </c>
      <c r="G58" s="12" t="n"/>
      <c r="H58" s="2" t="n">
        <v>108098</v>
      </c>
      <c r="I58" s="2" t="inlineStr">
        <is>
          <t>SAN CRISTOBAL TOTONICAPAN GT980108</t>
        </is>
      </c>
      <c r="J58" t="n">
        <v>14.8997987</v>
      </c>
      <c r="K58" t="n">
        <v>-91.4398109</v>
      </c>
      <c r="L58" t="inlineStr">
        <is>
          <t>https://www.google.com/maps/d/viewer?mid=1GZpOQ49Rymf1VGjF7oDoiMDC81ZHrXrr</t>
        </is>
      </c>
      <c r="M58" t="inlineStr">
        <is>
          <t>2026-10-05</t>
        </is>
      </c>
      <c r="N58" t="inlineStr">
        <is>
          <t>UNO San Cristobal Totonicapán</t>
        </is>
      </c>
    </row>
    <row r="59" ht="16.5" customHeight="1">
      <c r="A59" s="10" t="n"/>
      <c r="B59" s="5" t="n">
        <v>53</v>
      </c>
      <c r="C59" s="3" t="inlineStr">
        <is>
          <t xml:space="preserve"> TOTONICAPAN</t>
        </is>
      </c>
      <c r="D59" s="3" t="inlineStr">
        <is>
          <t>TOTONICAPAN</t>
        </is>
      </c>
      <c r="E59" s="3" t="inlineStr">
        <is>
          <t>SAN CRISTOBAL TOTONICAPAN</t>
        </is>
      </c>
      <c r="F59" s="3" t="inlineStr">
        <is>
          <t>KILÓMETRO 190 CARRETERA A TOTONICAPAN, PARAJE VISTA HERMOSA, CANTON XESUC SAN CRISTOBAL TOTONICAPAN</t>
        </is>
      </c>
      <c r="G59" s="12" t="n"/>
      <c r="H59" s="2" t="n">
        <v>108087</v>
      </c>
      <c r="I59" s="2" t="inlineStr">
        <is>
          <t>TOTONICAPAN GT980108</t>
        </is>
      </c>
      <c r="J59" t="n">
        <v>14.915111</v>
      </c>
      <c r="K59" t="n">
        <v>-91.42438180000001</v>
      </c>
      <c r="L59" t="inlineStr">
        <is>
          <t>https://www.google.com/maps/d/viewer?mid=1GZpOQ49Rymf1VGjF7oDoiMDC81ZHrXrr</t>
        </is>
      </c>
      <c r="M59" t="inlineStr">
        <is>
          <t>2026-10-05</t>
        </is>
      </c>
      <c r="N59" t="inlineStr">
        <is>
          <t>UNO Totonicapán</t>
        </is>
      </c>
    </row>
    <row r="60" ht="16.5" customHeight="1">
      <c r="A60" s="10" t="n"/>
      <c r="B60" s="5" t="n">
        <v>54</v>
      </c>
      <c r="C60" s="3" t="inlineStr">
        <is>
          <t xml:space="preserve"> TECPAN</t>
        </is>
      </c>
      <c r="D60" s="3" t="inlineStr">
        <is>
          <t>CHIMALTENANGO</t>
        </is>
      </c>
      <c r="E60" s="3" t="inlineStr">
        <is>
          <t>TECPAN</t>
        </is>
      </c>
      <c r="F60" s="3" t="inlineStr">
        <is>
          <t>ALDEA PAMANZANA KM 86.5 CARRETERA INTERAMERICANA, TECPAN, CHIMALTENANGO</t>
        </is>
      </c>
      <c r="G60" s="12" t="inlineStr">
        <is>
          <t>SI</t>
        </is>
      </c>
      <c r="H60" s="2" t="n">
        <v>606185</v>
      </c>
      <c r="I60" s="2" t="inlineStr">
        <is>
          <t>TECPAN GT980108</t>
        </is>
      </c>
      <c r="J60" t="n">
        <v>14.7556922</v>
      </c>
      <c r="K60" t="n">
        <v>-90.9768735</v>
      </c>
      <c r="L60" t="inlineStr">
        <is>
          <t>https://www.google.com/maps/d/viewer?mid=1GZpOQ49Rymf1VGjF7oDoiMDC81ZHrXrr</t>
        </is>
      </c>
      <c r="M60" t="inlineStr">
        <is>
          <t>2026-10-05</t>
        </is>
      </c>
      <c r="N60" t="inlineStr">
        <is>
          <t>UNO Tecpán</t>
        </is>
      </c>
    </row>
    <row r="61" ht="16.5" customHeight="1">
      <c r="A61" s="10" t="n"/>
      <c r="B61" s="5" t="n">
        <v>55</v>
      </c>
      <c r="C61" s="3" t="inlineStr">
        <is>
          <t xml:space="preserve"> ZARAGOZA</t>
        </is>
      </c>
      <c r="D61" s="3" t="inlineStr">
        <is>
          <t>CHIMALTENANGO</t>
        </is>
      </c>
      <c r="E61" s="3" t="inlineStr">
        <is>
          <t>ZARAGOZA</t>
        </is>
      </c>
      <c r="F61" s="3" t="inlineStr">
        <is>
          <t>KM 61.7 - 61.8 CARRETERA INTERAMERICANA, ZARAGOZA, CHIMALTENANGO</t>
        </is>
      </c>
      <c r="G61" s="12" t="inlineStr">
        <is>
          <t>SI</t>
        </is>
      </c>
      <c r="H61" s="2" t="n">
        <v>606184</v>
      </c>
      <c r="I61" s="2" t="inlineStr">
        <is>
          <t>ZARAGOZA GT980108</t>
        </is>
      </c>
      <c r="J61" t="n">
        <v>14.648469</v>
      </c>
      <c r="K61" t="n">
        <v>-90.871774</v>
      </c>
      <c r="L61" t="inlineStr">
        <is>
          <t>https://www.google.com/maps/d/viewer?mid=1GZpOQ49Rymf1VGjF7oDoiMDC81ZHrXrr</t>
        </is>
      </c>
      <c r="M61" t="inlineStr">
        <is>
          <t>2026-10-05</t>
        </is>
      </c>
      <c r="N61" t="inlineStr">
        <is>
          <t>UNO Zaragoza</t>
        </is>
      </c>
    </row>
    <row r="62" ht="16.5" customHeight="1">
      <c r="A62" s="10" t="n"/>
      <c r="B62" s="5" t="n">
        <v>56</v>
      </c>
      <c r="C62" s="3" t="inlineStr">
        <is>
          <t xml:space="preserve"> CHIMALTENANGO</t>
        </is>
      </c>
      <c r="D62" s="3" t="inlineStr">
        <is>
          <t>CHIMALTENANGO</t>
        </is>
      </c>
      <c r="E62" s="3" t="inlineStr">
        <is>
          <t>CHIMALTENANGO</t>
        </is>
      </c>
      <c r="F62" s="3" t="inlineStr">
        <is>
          <t>KM 52.5 CARRETERA INTERAMERICANA ALDEA LOS PLANES ZONA 0</t>
        </is>
      </c>
      <c r="G62" s="12" t="n"/>
      <c r="H62" s="2" t="n">
        <v>606052</v>
      </c>
      <c r="I62" s="2" t="inlineStr">
        <is>
          <t>CHIMALTENANGO GT980108</t>
        </is>
      </c>
      <c r="J62" t="n">
        <v>14.6510023</v>
      </c>
      <c r="K62" t="n">
        <v>-90.8009043</v>
      </c>
      <c r="L62" t="inlineStr">
        <is>
          <t>https://www.google.com/maps/d/viewer?mid=1GZpOQ49Rymf1VGjF7oDoiMDC81ZHrXrr</t>
        </is>
      </c>
      <c r="M62" t="inlineStr">
        <is>
          <t>2026-10-05</t>
        </is>
      </c>
      <c r="N62" t="inlineStr">
        <is>
          <t>UNO Chimaltenango</t>
        </is>
      </c>
    </row>
    <row r="63" ht="16.5" customHeight="1">
      <c r="A63" s="10" t="n"/>
      <c r="B63" s="5" t="n">
        <v>57</v>
      </c>
      <c r="C63" s="3" t="inlineStr">
        <is>
          <t xml:space="preserve"> EL TEJAR</t>
        </is>
      </c>
      <c r="D63" s="3" t="inlineStr">
        <is>
          <t>CHIMALTENANGO</t>
        </is>
      </c>
      <c r="E63" s="3" t="inlineStr">
        <is>
          <t>EL TEJAR</t>
        </is>
      </c>
      <c r="F63" s="3" t="inlineStr">
        <is>
          <t>KILOMETRO 50.5 CARRETERA INTERAMERICANA, EL TEJAR CHIMALTENANGO</t>
        </is>
      </c>
      <c r="G63" s="12" t="n"/>
      <c r="H63" s="2" t="n">
        <v>108082</v>
      </c>
      <c r="I63" s="2" t="inlineStr">
        <is>
          <t>EL TEJAR GT980108</t>
        </is>
      </c>
      <c r="J63" t="n">
        <v>14.643213</v>
      </c>
      <c r="K63" t="n">
        <v>-90.7839529</v>
      </c>
      <c r="L63" t="inlineStr">
        <is>
          <t>https://www.google.com/maps/d/viewer?mid=1GZpOQ49Rymf1VGjF7oDoiMDC81ZHrXrr</t>
        </is>
      </c>
      <c r="M63" t="inlineStr">
        <is>
          <t>2026-10-05</t>
        </is>
      </c>
      <c r="N63" t="inlineStr">
        <is>
          <t>UNO El Tejar</t>
        </is>
      </c>
    </row>
    <row r="64" ht="16.5" customHeight="1">
      <c r="A64" s="10" t="n"/>
      <c r="B64" s="5" t="n">
        <v>58</v>
      </c>
      <c r="C64" s="3" t="inlineStr">
        <is>
          <t xml:space="preserve"> BARBERENA</t>
        </is>
      </c>
      <c r="D64" s="3" t="inlineStr">
        <is>
          <t>SANTA ROSA</t>
        </is>
      </c>
      <c r="E64" s="3" t="inlineStr">
        <is>
          <t>BARBERENA</t>
        </is>
      </c>
      <c r="F64" s="3" t="inlineStr">
        <is>
          <t xml:space="preserve">RUTA INTERAMERICANA KM 56, BARBERENA SANTA ROSA </t>
        </is>
      </c>
      <c r="G64" s="12" t="n"/>
      <c r="H64" s="2" t="n">
        <v>606067</v>
      </c>
      <c r="I64" s="2" t="inlineStr">
        <is>
          <t>BARBERENA GT980108</t>
        </is>
      </c>
      <c r="J64" t="n">
        <v>14.3126209</v>
      </c>
      <c r="K64" t="n">
        <v>-90.3763581</v>
      </c>
      <c r="L64" t="inlineStr">
        <is>
          <t>https://www.google.com/maps/d/viewer?mid=1GZpOQ49Rymf1VGjF7oDoiMDC81ZHrXrr</t>
        </is>
      </c>
      <c r="M64" t="inlineStr">
        <is>
          <t>2026-10-05</t>
        </is>
      </c>
      <c r="N64" t="inlineStr">
        <is>
          <t>UNO Barberena</t>
        </is>
      </c>
    </row>
    <row r="65" ht="16.5" customHeight="1">
      <c r="A65" s="10" t="n"/>
      <c r="B65" s="5" t="n">
        <v>59</v>
      </c>
      <c r="C65" s="3" t="inlineStr">
        <is>
          <t xml:space="preserve"> JUTIAPA</t>
        </is>
      </c>
      <c r="D65" s="3" t="inlineStr">
        <is>
          <t>JUTIAPA</t>
        </is>
      </c>
      <c r="E65" s="3" t="inlineStr">
        <is>
          <t>JUTIAPA</t>
        </is>
      </c>
      <c r="F65" s="3" t="inlineStr">
        <is>
          <t xml:space="preserve">CARRETERA INTERAMERICANA ZONA 4 JUTIAPA </t>
        </is>
      </c>
      <c r="G65" s="12" t="inlineStr">
        <is>
          <t>SI</t>
        </is>
      </c>
      <c r="H65" s="2" t="n">
        <v>606068</v>
      </c>
      <c r="I65" s="2" t="inlineStr">
        <is>
          <t>JUTIAPA GT980108</t>
        </is>
      </c>
      <c r="J65" t="n">
        <v>14.2968617</v>
      </c>
      <c r="K65" t="n">
        <v>-89.89884979999999</v>
      </c>
      <c r="L65" t="inlineStr">
        <is>
          <t>https://www.google.com/maps/d/viewer?mid=1GZpOQ49Rymf1VGjF7oDoiMDC81ZHrXrr</t>
        </is>
      </c>
      <c r="M65" t="inlineStr">
        <is>
          <t>2026-10-05</t>
        </is>
      </c>
      <c r="N65" t="inlineStr">
        <is>
          <t>UNO Jutiapa</t>
        </is>
      </c>
    </row>
    <row r="66" ht="16.5" customHeight="1">
      <c r="A66" s="10" t="n"/>
      <c r="B66" s="5" t="n">
        <v>60</v>
      </c>
      <c r="C66" s="3" t="inlineStr">
        <is>
          <t xml:space="preserve"> SAN ANTONIO JUTIAPA</t>
        </is>
      </c>
      <c r="D66" s="3" t="inlineStr">
        <is>
          <t>JUTIAPA</t>
        </is>
      </c>
      <c r="E66" s="3" t="inlineStr">
        <is>
          <t>JUTIAPA</t>
        </is>
      </c>
      <c r="F66" s="3" t="inlineStr">
        <is>
          <t>KILOMETRO 121 CARRETERA INTERAMERICANA, ALDEA EL TABLÓN, JUTIAPA, JUTIAPA</t>
        </is>
      </c>
      <c r="G66" s="12" t="n"/>
      <c r="H66" s="2" t="n">
        <v>108027</v>
      </c>
      <c r="I66" s="2" t="inlineStr">
        <is>
          <t>SAN ANTONIO JUTIAPA GT980108</t>
        </is>
      </c>
      <c r="J66" t="n">
        <v>14.308121</v>
      </c>
      <c r="K66" t="n">
        <v>-89.8690161</v>
      </c>
      <c r="L66" t="inlineStr">
        <is>
          <t>https://www.google.com/maps/d/viewer?mid=1GZpOQ49Rymf1VGjF7oDoiMDC81ZHrXrr</t>
        </is>
      </c>
      <c r="M66" t="inlineStr">
        <is>
          <t>2026-10-05</t>
        </is>
      </c>
      <c r="N66" t="inlineStr">
        <is>
          <t>UNO San Antonio Jutiapa</t>
        </is>
      </c>
    </row>
    <row r="67" ht="16.5" customHeight="1">
      <c r="A67" s="10" t="n"/>
      <c r="B67" s="5" t="n">
        <v>61</v>
      </c>
      <c r="C67" s="3" t="inlineStr">
        <is>
          <t xml:space="preserve"> CHIQUIMULA</t>
        </is>
      </c>
      <c r="D67" s="3" t="inlineStr">
        <is>
          <t>CHIQUIMULA</t>
        </is>
      </c>
      <c r="E67" s="3" t="inlineStr">
        <is>
          <t>CHIQUIMULA</t>
        </is>
      </c>
      <c r="F67" s="3" t="inlineStr">
        <is>
          <t>KM 167.2 PRIMERA ENTRADA A CHIQUIMULA RUTA CA-10</t>
        </is>
      </c>
      <c r="G67" s="12" t="inlineStr">
        <is>
          <t>SI</t>
        </is>
      </c>
      <c r="H67" s="2" t="n">
        <v>606069</v>
      </c>
      <c r="I67" s="2" t="inlineStr">
        <is>
          <t>CHIQUIMULA GT980108</t>
        </is>
      </c>
      <c r="J67" t="n">
        <v>14.8060242</v>
      </c>
      <c r="K67" t="n">
        <v>-89.53230670000001</v>
      </c>
      <c r="L67" t="inlineStr">
        <is>
          <t>https://www.google.com/maps/d/viewer?mid=1GZpOQ49Rymf1VGjF7oDoiMDC81ZHrXrr</t>
        </is>
      </c>
      <c r="M67" t="inlineStr">
        <is>
          <t>2026-10-05</t>
        </is>
      </c>
      <c r="N67" t="inlineStr">
        <is>
          <t>UNO Chiquimula</t>
        </is>
      </c>
    </row>
    <row r="68" ht="16.5" customHeight="1">
      <c r="A68" s="10" t="n"/>
      <c r="B68" s="5" t="n">
        <v>62</v>
      </c>
      <c r="C68" s="3" t="inlineStr">
        <is>
          <t xml:space="preserve"> SANARATE</t>
        </is>
      </c>
      <c r="D68" s="3" t="inlineStr">
        <is>
          <t>EL PROGRESO</t>
        </is>
      </c>
      <c r="E68" s="3" t="inlineStr">
        <is>
          <t>SANARATE</t>
        </is>
      </c>
      <c r="F68" s="3" t="inlineStr">
        <is>
          <t>ALDEA MONTE GRANDE KM 53 ZONA 0 RUTA AL ATLANTICO, SANARATE, EL PROGRESO</t>
        </is>
      </c>
      <c r="G68" s="12" t="inlineStr">
        <is>
          <t>SI</t>
        </is>
      </c>
      <c r="H68" s="2" t="n">
        <v>108104</v>
      </c>
      <c r="I68" s="2" t="inlineStr">
        <is>
          <t>SANARATE GT980108</t>
        </is>
      </c>
      <c r="J68" t="n">
        <v>14.8026501</v>
      </c>
      <c r="K68" t="n">
        <v>-90.21241999999999</v>
      </c>
      <c r="L68" t="inlineStr">
        <is>
          <t>https://www.google.com/maps/d/viewer?mid=1GZpOQ49Rymf1VGjF7oDoiMDC81ZHrXrr</t>
        </is>
      </c>
      <c r="M68" t="inlineStr">
        <is>
          <t>2026-10-05</t>
        </is>
      </c>
      <c r="N68" t="inlineStr">
        <is>
          <t>UNO Sanarate</t>
        </is>
      </c>
    </row>
    <row r="69" ht="16.5" customHeight="1">
      <c r="A69" s="10" t="n"/>
      <c r="B69" s="5" t="n">
        <v>63</v>
      </c>
      <c r="C69" s="3" t="inlineStr">
        <is>
          <t xml:space="preserve"> SANARATE CENTRO</t>
        </is>
      </c>
      <c r="D69" s="3" t="inlineStr">
        <is>
          <t>EL PROGRESO</t>
        </is>
      </c>
      <c r="E69" s="3" t="inlineStr">
        <is>
          <t>SANARATE</t>
        </is>
      </c>
      <c r="F69" s="3" t="inlineStr">
        <is>
          <t>KM 53.5 CALZADA PRINCIPAL A SANARATE, EL PROGRESO</t>
        </is>
      </c>
      <c r="G69" s="12" t="n"/>
      <c r="H69" s="2" t="n">
        <v>108107</v>
      </c>
      <c r="I69" s="2" t="inlineStr">
        <is>
          <t>SANARATE CENTRO GT995108</t>
        </is>
      </c>
      <c r="J69" t="n">
        <v>14.8015625</v>
      </c>
      <c r="K69" t="n">
        <v>-90.19381250000001</v>
      </c>
      <c r="L69" t="inlineStr">
        <is>
          <t>https://www.google.com/maps/d/viewer?mid=1GZpOQ49Rymf1VGjF7oDoiMDC81ZHrXrr</t>
        </is>
      </c>
      <c r="M69" t="inlineStr">
        <is>
          <t>2026-10-05</t>
        </is>
      </c>
      <c r="N69" t="inlineStr">
        <is>
          <t>UNO Sanarate Centro</t>
        </is>
      </c>
    </row>
    <row r="70" ht="16.5" customHeight="1">
      <c r="A70" s="10" t="n"/>
      <c r="B70" s="5" t="n">
        <v>64</v>
      </c>
      <c r="C70" s="3" t="inlineStr">
        <is>
          <t xml:space="preserve"> MONJAS JALAPA</t>
        </is>
      </c>
      <c r="D70" s="3" t="inlineStr">
        <is>
          <t>JALAPA</t>
        </is>
      </c>
      <c r="E70" s="3" t="inlineStr">
        <is>
          <t>MONJAS</t>
        </is>
      </c>
      <c r="F70" s="3" t="inlineStr">
        <is>
          <t>BARRIO LA LIBERTAD, MONJAS, JALAPA</t>
        </is>
      </c>
      <c r="G70" s="12" t="inlineStr">
        <is>
          <t>SI</t>
        </is>
      </c>
      <c r="H70" s="2" t="n">
        <v>606233</v>
      </c>
      <c r="I70" s="2" t="inlineStr">
        <is>
          <t>MONJAS JALAPA GT980108</t>
        </is>
      </c>
      <c r="J70" t="n">
        <v>14.5059333</v>
      </c>
      <c r="K70" t="n">
        <v>-89.8744861111111</v>
      </c>
      <c r="L70" t="inlineStr">
        <is>
          <t>https://www.google.com/maps/d/viewer?mid=1GZpOQ49Rymf1VGjF7oDoiMDC81ZHrXrr</t>
        </is>
      </c>
      <c r="M70" t="inlineStr">
        <is>
          <t>2026-10-05</t>
        </is>
      </c>
      <c r="N70" t="inlineStr">
        <is>
          <t>UNO Monjas Jalapa</t>
        </is>
      </c>
    </row>
    <row r="71" ht="16.5" customHeight="1">
      <c r="A71" s="10" t="n"/>
      <c r="B71" s="5" t="n">
        <v>65</v>
      </c>
      <c r="C71" s="3" t="inlineStr">
        <is>
          <t xml:space="preserve"> AVENIDA CHIPILAPA</t>
        </is>
      </c>
      <c r="D71" s="3" t="inlineStr">
        <is>
          <t>JALAPA</t>
        </is>
      </c>
      <c r="E71" s="3" t="inlineStr">
        <is>
          <t>JALAPA</t>
        </is>
      </c>
      <c r="F71" s="3" t="inlineStr">
        <is>
          <t>AVENIDA CHIPILAPA Y CALLE TRANSITO ROJAS ZONA 6 JALAPA</t>
        </is>
      </c>
      <c r="G71" s="12" t="n"/>
      <c r="H71" s="2" t="n">
        <v>606234</v>
      </c>
      <c r="I71" s="2" t="inlineStr">
        <is>
          <t>AVENIDA CHIPILAPA JALAPA GT980108</t>
        </is>
      </c>
      <c r="J71" t="n">
        <v>14.6386528</v>
      </c>
      <c r="K71" t="n">
        <v>-89.9876805555556</v>
      </c>
      <c r="L71" t="inlineStr">
        <is>
          <t>https://www.google.com/maps/d/viewer?mid=1GZpOQ49Rymf1VGjF7oDoiMDC81ZHrXrr</t>
        </is>
      </c>
      <c r="M71" t="inlineStr">
        <is>
          <t>2026-10-05</t>
        </is>
      </c>
      <c r="N71" t="inlineStr">
        <is>
          <t>UNO Chipilapa Jalapa</t>
        </is>
      </c>
    </row>
    <row r="72" ht="16.5" customHeight="1">
      <c r="A72" s="10" t="n"/>
      <c r="B72" s="5" t="n">
        <v>66</v>
      </c>
      <c r="C72" s="3" t="inlineStr">
        <is>
          <t xml:space="preserve"> JALAPA </t>
        </is>
      </c>
      <c r="D72" s="3" t="inlineStr">
        <is>
          <t>JALAPA</t>
        </is>
      </c>
      <c r="E72" s="3" t="inlineStr">
        <is>
          <t>JALAPA</t>
        </is>
      </c>
      <c r="F72" s="3" t="inlineStr">
        <is>
          <t>AVENIDA CHIPILAPA 4 CALLE ZONA 1 JALAPA</t>
        </is>
      </c>
      <c r="G72" s="12" t="n"/>
      <c r="H72" s="2" t="n">
        <v>606236</v>
      </c>
      <c r="I72" s="2" t="inlineStr">
        <is>
          <t>JALAPA GT980108</t>
        </is>
      </c>
      <c r="J72" t="n">
        <v>14.6319611</v>
      </c>
      <c r="K72" t="n">
        <v>-89.98506111111109</v>
      </c>
      <c r="L72" t="inlineStr">
        <is>
          <t>https://www.google.com/maps/d/viewer?mid=1GZpOQ49Rymf1VGjF7oDoiMDC81ZHrXrr</t>
        </is>
      </c>
      <c r="M72" t="inlineStr">
        <is>
          <t>2026-10-05</t>
        </is>
      </c>
      <c r="N72" t="inlineStr">
        <is>
          <t>UNO Jalapa</t>
        </is>
      </c>
    </row>
    <row r="73" ht="16.5" customHeight="1">
      <c r="A73" s="10" t="n"/>
      <c r="B73" s="5" t="n">
        <v>67</v>
      </c>
      <c r="C73" s="3" t="inlineStr">
        <is>
          <t xml:space="preserve"> COBAN</t>
        </is>
      </c>
      <c r="D73" s="3" t="inlineStr">
        <is>
          <t>ALTA VERAPAZ</t>
        </is>
      </c>
      <c r="E73" s="3" t="inlineStr">
        <is>
          <t>COBAN</t>
        </is>
      </c>
      <c r="F73" s="3" t="inlineStr">
        <is>
          <t>2DA CALLE 5-95 ZONA 2 COBAN, ALTA VERAPAZ</t>
        </is>
      </c>
      <c r="G73" s="12" t="n"/>
      <c r="H73" s="2" t="n">
        <v>108946</v>
      </c>
      <c r="I73" s="2" t="inlineStr">
        <is>
          <t>COBAN GT980108</t>
        </is>
      </c>
      <c r="J73" t="n">
        <v>15.470258</v>
      </c>
      <c r="K73" t="n">
        <v>-90.378136</v>
      </c>
      <c r="L73" t="inlineStr">
        <is>
          <t>https://www.google.com/maps/d/viewer?mid=1GZpOQ49Rymf1VGjF7oDoiMDC81ZHrXrr</t>
        </is>
      </c>
      <c r="M73" t="inlineStr">
        <is>
          <t>2026-10-05</t>
        </is>
      </c>
      <c r="N73" t="inlineStr">
        <is>
          <t>UNO Cobán</t>
        </is>
      </c>
    </row>
    <row r="74" ht="16.5" customHeight="1">
      <c r="A74" s="10" t="n"/>
      <c r="B74" s="5" t="n">
        <v>68</v>
      </c>
      <c r="C74" s="3" t="inlineStr">
        <is>
          <t xml:space="preserve"> LLANO LARGO</t>
        </is>
      </c>
      <c r="D74" s="3" t="inlineStr">
        <is>
          <t>GUATEMALA</t>
        </is>
      </c>
      <c r="E74" s="3" t="inlineStr">
        <is>
          <t>GUATEMALA</t>
        </is>
      </c>
      <c r="F74" s="3" t="inlineStr">
        <is>
          <t>Carretera al Atlántico 61-76  Colonia El Carmen Zona 25, GUATEMALA, GUATEMALA</t>
        </is>
      </c>
      <c r="G74" s="12" t="inlineStr">
        <is>
          <t>SI</t>
        </is>
      </c>
      <c r="H74" s="2" t="n">
        <v>108094</v>
      </c>
      <c r="I74" s="2" t="inlineStr">
        <is>
          <t>LLANO GRANDE GT980108</t>
        </is>
      </c>
      <c r="J74" t="n">
        <v>14.6518</v>
      </c>
      <c r="K74" t="n">
        <v>-90.4294</v>
      </c>
      <c r="L74" t="inlineStr">
        <is>
          <t>https://www.google.com/maps/d/viewer?mid=1GZpOQ49Rymf1VGjF7oDoiMDC81ZHrXrr</t>
        </is>
      </c>
      <c r="M74" t="inlineStr">
        <is>
          <t>2026-10-05</t>
        </is>
      </c>
      <c r="N74" t="inlineStr">
        <is>
          <t>UNO Llano Largo</t>
        </is>
      </c>
    </row>
    <row r="75" ht="16.5" customHeight="1">
      <c r="A75" s="10" t="n"/>
      <c r="B75" s="5" t="n">
        <v>69</v>
      </c>
      <c r="C75" s="3" t="inlineStr">
        <is>
          <t xml:space="preserve"> QUESADA</t>
        </is>
      </c>
      <c r="D75" s="3" t="inlineStr">
        <is>
          <t>JUTIAPA</t>
        </is>
      </c>
      <c r="E75" s="3" t="inlineStr">
        <is>
          <t>QUESADA</t>
        </is>
      </c>
      <c r="F75" s="3" t="inlineStr">
        <is>
          <t>ALDEA NUEVO CHAPARRON, QUESADA, JUTIAPA</t>
        </is>
      </c>
      <c r="G75" s="12" t="n"/>
      <c r="H75" s="2" t="n">
        <v>108120</v>
      </c>
      <c r="I75" s="2" t="inlineStr">
        <is>
          <t>UNO QUESADA GT995108</t>
        </is>
      </c>
      <c r="J75" t="n">
        <v>14.250794</v>
      </c>
      <c r="K75" t="n">
        <v>-90.027148</v>
      </c>
      <c r="L75" t="inlineStr">
        <is>
          <t>https://www.google.com/maps/d/viewer?mid=1GZpOQ49Rymf1VGjF7oDoiMDC81ZHrXrr</t>
        </is>
      </c>
      <c r="M75" t="inlineStr">
        <is>
          <t>2026-10-05</t>
        </is>
      </c>
      <c r="N75" t="inlineStr">
        <is>
          <t>UNO Quesada</t>
        </is>
      </c>
    </row>
    <row r="76" ht="16.5" customHeight="1">
      <c r="A76" s="10" t="n"/>
      <c r="B76" s="5" t="n">
        <v>70</v>
      </c>
      <c r="C76" s="3" t="inlineStr">
        <is>
          <t xml:space="preserve"> TECULUTAN</t>
        </is>
      </c>
      <c r="D76" s="3" t="inlineStr">
        <is>
          <t>ZACAPA</t>
        </is>
      </c>
      <c r="E76" s="3" t="inlineStr">
        <is>
          <t>TECULUTAN</t>
        </is>
      </c>
      <c r="F76" s="3" t="inlineStr">
        <is>
          <t>Kilometro 123 Ruta al Atlantico, Teculutan, Zacapa</t>
        </is>
      </c>
      <c r="G76" s="12" t="n"/>
      <c r="H76" s="2" t="n">
        <v>108125</v>
      </c>
      <c r="I76" s="2" t="inlineStr">
        <is>
          <t>TECULUTAN GT980108</t>
        </is>
      </c>
      <c r="J76" t="n">
        <v>14.9961995955167</v>
      </c>
      <c r="K76" t="n">
        <v>-89.6999984810974</v>
      </c>
      <c r="L76" t="inlineStr">
        <is>
          <t>https://www.google.com/maps/d/viewer?mid=1GZpOQ49Rymf1VGjF7oDoiMDC81ZHrXrr</t>
        </is>
      </c>
      <c r="M76" t="inlineStr">
        <is>
          <t>2026-10-05</t>
        </is>
      </c>
      <c r="N76" t="inlineStr">
        <is>
          <t>UNO Teculután</t>
        </is>
      </c>
    </row>
    <row r="77" ht="16.5" customHeight="1">
      <c r="A77" s="10" t="n"/>
      <c r="B77" s="5" t="n">
        <v>71</v>
      </c>
      <c r="C77" s="3" t="inlineStr">
        <is>
          <t xml:space="preserve"> PRADOS DE VILLA HERMOSA</t>
        </is>
      </c>
      <c r="D77" s="3" t="inlineStr">
        <is>
          <t>GUATEMALA</t>
        </is>
      </c>
      <c r="E77" s="3" t="inlineStr">
        <is>
          <t>GUATEMALA</t>
        </is>
      </c>
      <c r="F77" s="3" t="inlineStr">
        <is>
          <t>15 AVENIDA B 20-14 VILLA HERMOSA 1, ZONA 7, SAN MIGUEL PETAPA</t>
        </is>
      </c>
      <c r="G77" s="12" t="n"/>
      <c r="H77" s="2" t="n">
        <v>108126</v>
      </c>
      <c r="I77" s="2" t="inlineStr">
        <is>
          <t>UNO PRADOS DE VILLA HERMOSA GT980108</t>
        </is>
      </c>
      <c r="J77" t="n">
        <v>14.530017</v>
      </c>
      <c r="K77" t="n">
        <v>-90.55418640000001</v>
      </c>
      <c r="L77" t="inlineStr">
        <is>
          <t>https://www.google.com/maps/d/viewer?mid=1GZpOQ49Rymf1VGjF7oDoiMDC81ZHrXrr</t>
        </is>
      </c>
      <c r="M77" t="inlineStr">
        <is>
          <t>2026-10-05</t>
        </is>
      </c>
      <c r="N77" t="inlineStr">
        <is>
          <t>UNO Prados de Villa Hermosa</t>
        </is>
      </c>
    </row>
    <row r="78" ht="16.5" customHeight="1">
      <c r="A78" s="5" t="n"/>
      <c r="B78" s="5" t="n">
        <v>72</v>
      </c>
      <c r="C78" s="3" t="inlineStr">
        <is>
          <t xml:space="preserve"> SUMPANGO</t>
        </is>
      </c>
      <c r="D78" s="3" t="inlineStr">
        <is>
          <t>SACATEPÉQUEZ</t>
        </is>
      </c>
      <c r="E78" s="3" t="inlineStr">
        <is>
          <t>SUMPANGO</t>
        </is>
      </c>
      <c r="F78" s="3" t="inlineStr">
        <is>
          <t>KILOMETRO 43 43-00, CARRETERA INTERAMERICANA SUMPANGO, SACATEPEQUEZ, GUATEMALA</t>
        </is>
      </c>
      <c r="G78" s="10" t="n"/>
      <c r="H78" s="2" t="n">
        <v>108132</v>
      </c>
      <c r="I78" s="2" t="inlineStr">
        <is>
          <t>UNO SUMPANGO GT980108</t>
        </is>
      </c>
      <c r="J78" t="n">
        <v>14.65431</v>
      </c>
      <c r="K78" t="n">
        <v>-90.73707</v>
      </c>
      <c r="L78" t="inlineStr">
        <is>
          <t>https://www.google.com/maps/d/viewer?mid=1GZpOQ49Rymf1VGjF7oDoiMDC81ZHrXrr</t>
        </is>
      </c>
      <c r="M78" t="inlineStr">
        <is>
          <t>2026-10-05</t>
        </is>
      </c>
      <c r="N78" t="inlineStr">
        <is>
          <t>UNO Sumpango</t>
        </is>
      </c>
    </row>
    <row r="79" ht="16.5" customHeight="1">
      <c r="A79" s="5" t="n"/>
      <c r="B79" s="5" t="n">
        <v>73</v>
      </c>
      <c r="C79" s="3" t="inlineStr">
        <is>
          <t xml:space="preserve"> VISTAS DE SANTA ELISA</t>
        </is>
      </c>
      <c r="D79" s="3" t="inlineStr">
        <is>
          <t>GUATEMALA</t>
        </is>
      </c>
      <c r="E79" s="3" t="inlineStr">
        <is>
          <t>GUATEMALA</t>
        </is>
      </c>
      <c r="F79" s="3" t="inlineStr">
        <is>
          <t>23 Avenida 31-01 Zona 12, Colonia Santa, Elisa Guatemala, Guatemala</t>
        </is>
      </c>
      <c r="G79" s="10" t="n"/>
      <c r="H79" s="2" t="n">
        <v>108137</v>
      </c>
      <c r="I79" s="2" t="inlineStr">
        <is>
          <t>UNO VISTAS DE SANTA ELISA GT980108</t>
        </is>
      </c>
      <c r="J79" t="n">
        <v>14.589163</v>
      </c>
      <c r="K79" t="n">
        <v>-90.54218849999999</v>
      </c>
      <c r="L79" t="inlineStr">
        <is>
          <t>https://www.google.com/maps/d/viewer?mid=1GZpOQ49Rymf1VGjF7oDoiMDC81ZHrXrr</t>
        </is>
      </c>
      <c r="M79" t="inlineStr">
        <is>
          <t>2026-10-05</t>
        </is>
      </c>
      <c r="N79" t="inlineStr">
        <is>
          <t>UNO Santa Elisa Z 12</t>
        </is>
      </c>
    </row>
    <row r="80" ht="16.5" customHeight="1">
      <c r="A80" s="5" t="n"/>
      <c r="B80" s="5" t="n">
        <v>74</v>
      </c>
      <c r="C80" s="3" t="inlineStr">
        <is>
          <t xml:space="preserve"> PALMERAS ESCUINTLA</t>
        </is>
      </c>
      <c r="D80" s="3" t="inlineStr">
        <is>
          <t>ESCUINTLA</t>
        </is>
      </c>
      <c r="E80" s="3" t="inlineStr">
        <is>
          <t>ESCUINTLA</t>
        </is>
      </c>
      <c r="F80" s="3" t="inlineStr">
        <is>
          <t>1 Avenida Frente a Centro Comercial Plaza Palmeras Zona 1 Escuintla, Escuintla</t>
        </is>
      </c>
      <c r="G80" s="12" t="inlineStr">
        <is>
          <t>SI</t>
        </is>
      </c>
      <c r="H80" s="2" t="n">
        <v>108128</v>
      </c>
      <c r="I80" s="2" t="inlineStr">
        <is>
          <t>UNO PALMERAS ESCUINTLA GT980108</t>
        </is>
      </c>
      <c r="J80" t="n">
        <v>14.3076079</v>
      </c>
      <c r="K80" t="n">
        <v>-90.7872416</v>
      </c>
      <c r="L80" t="inlineStr">
        <is>
          <t>https://www.google.com/maps/d/viewer?mid=1GZpOQ49Rymf1VGjF7oDoiMDC81ZHrXrr</t>
        </is>
      </c>
      <c r="M80" t="inlineStr">
        <is>
          <t>2026-10-05</t>
        </is>
      </c>
      <c r="N80" t="inlineStr">
        <is>
          <t>UNO PLAZA PALMERAS</t>
        </is>
      </c>
    </row>
    <row r="81" ht="16.5" customHeight="1">
      <c r="A81" s="5" t="n"/>
      <c r="B81" s="5" t="n">
        <v>75</v>
      </c>
      <c r="C81" s="3" t="inlineStr">
        <is>
          <t xml:space="preserve"> EL RANCHO</t>
        </is>
      </c>
      <c r="D81" s="3" t="inlineStr">
        <is>
          <t>EL PROGRESO</t>
        </is>
      </c>
      <c r="E81" s="3" t="inlineStr">
        <is>
          <t>SAN AGUSTIN ACASAGUASTLAN</t>
        </is>
      </c>
      <c r="F81" s="3" t="inlineStr">
        <is>
          <t>Kilómetro 82.5 Ruta al Atlántico, El Rancho San Agustin Acasaguatlan, El Progreso</t>
        </is>
      </c>
      <c r="G81" s="10" t="n"/>
      <c r="H81" s="2" t="n">
        <v>108141</v>
      </c>
      <c r="I81" s="2" t="inlineStr">
        <is>
          <t>UNO EL RANCHO GT980108</t>
        </is>
      </c>
      <c r="J81" t="n">
        <v>14.910136</v>
      </c>
      <c r="K81" t="n">
        <v>-90.02019300000001</v>
      </c>
      <c r="L81" t="inlineStr">
        <is>
          <t>https://www.google.com/maps/d/viewer?mid=1GZpOQ49Rymf1VGjF7oDoiMDC81ZHrXrr</t>
        </is>
      </c>
      <c r="M81" t="inlineStr">
        <is>
          <t>2026-10-05</t>
        </is>
      </c>
      <c r="N81" t="inlineStr">
        <is>
          <t>UNO EL RANCHO</t>
        </is>
      </c>
    </row>
    <row r="82" ht="16.5" customHeight="1">
      <c r="A82" s="5" t="n"/>
      <c r="B82" s="5" t="n">
        <v>76</v>
      </c>
      <c r="C82" s="3" t="inlineStr">
        <is>
          <t xml:space="preserve"> TEJUTLA</t>
        </is>
      </c>
      <c r="D82" s="3" t="inlineStr">
        <is>
          <t>SAN MARCOS</t>
        </is>
      </c>
      <c r="E82" s="3" t="inlineStr">
        <is>
          <t>TEJUTLA</t>
        </is>
      </c>
      <c r="F82" s="3" t="inlineStr">
        <is>
          <t>2a Avenida 0-35 Zona 2 Tejutla, San Marcos</t>
        </is>
      </c>
      <c r="G82" s="10" t="n"/>
      <c r="H82" s="2" t="n">
        <v>108108</v>
      </c>
      <c r="I82" s="2" t="inlineStr">
        <is>
          <t>UNO TEJUTLA GT980108</t>
        </is>
      </c>
    </row>
    <row r="83" ht="16.5" customHeight="1">
      <c r="A83" s="5" t="n"/>
      <c r="B83" s="5" t="n">
        <v>77</v>
      </c>
      <c r="C83" s="3" t="inlineStr">
        <is>
          <t xml:space="preserve"> MASAGUA</t>
        </is>
      </c>
      <c r="D83" s="3" t="inlineStr">
        <is>
          <t>ESCUINTLA</t>
        </is>
      </c>
      <c r="E83" s="3" t="inlineStr">
        <is>
          <t>ESCUINTLA</t>
        </is>
      </c>
      <c r="F83" s="3" t="inlineStr">
        <is>
          <t>Kilómetro 70.3 de la Carretera Antigua al Puerto de San José Masagua, Escuintla</t>
        </is>
      </c>
      <c r="G83" s="10" t="n"/>
      <c r="H83" s="2" t="n">
        <v>108134</v>
      </c>
      <c r="I83" s="2" t="inlineStr">
        <is>
          <t>UNO MASAGUA GT980108</t>
        </is>
      </c>
      <c r="J83" t="n">
        <v>14.201265</v>
      </c>
      <c r="K83" t="n">
        <v>-90.84635900000001</v>
      </c>
      <c r="L83" t="inlineStr">
        <is>
          <t>https://www.google.com/maps/d/viewer?mid=1GZpOQ49Rymf1VGjF7oDoiMDC81ZHrXrr</t>
        </is>
      </c>
      <c r="M83" t="inlineStr">
        <is>
          <t>2026-10-05</t>
        </is>
      </c>
      <c r="N83" t="inlineStr">
        <is>
          <t>UNO MASAGUA</t>
        </is>
      </c>
    </row>
    <row r="84" ht="16.5" customHeight="1">
      <c r="A84" s="5" t="n"/>
      <c r="B84" s="5" t="n">
        <v>78</v>
      </c>
      <c r="C84" s="3" t="inlineStr">
        <is>
          <t xml:space="preserve"> XELA NORTE</t>
        </is>
      </c>
      <c r="D84" s="3" t="inlineStr">
        <is>
          <t>QUETZALTENANGO</t>
        </is>
      </c>
      <c r="E84" s="3" t="inlineStr">
        <is>
          <t>QUETZALTENANGO</t>
        </is>
      </c>
      <c r="F84" s="3" t="inlineStr">
        <is>
          <t>Diagonal 5, 37-310 zona 8 Quetzaltenango, Quetzaltenango</t>
        </is>
      </c>
      <c r="G84" s="12" t="inlineStr">
        <is>
          <t>SI</t>
        </is>
      </c>
      <c r="H84" s="2" t="n">
        <v>108085</v>
      </c>
      <c r="I84" s="2" t="inlineStr">
        <is>
          <t>UNO XELA NORTE GT980108</t>
        </is>
      </c>
      <c r="J84" t="n">
        <v>14.8623</v>
      </c>
      <c r="K84" t="n">
        <v>-91.5419</v>
      </c>
      <c r="L84" t="inlineStr">
        <is>
          <t>https://www.google.com/maps/d/viewer?mid=1GZpOQ49Rymf1VGjF7oDoiMDC81ZHrXrr</t>
        </is>
      </c>
      <c r="M84" t="inlineStr">
        <is>
          <t>2026-10-05</t>
        </is>
      </c>
      <c r="N84" t="inlineStr">
        <is>
          <t>UNO Xela Norte</t>
        </is>
      </c>
    </row>
    <row r="85" ht="16.5" customHeight="1">
      <c r="A85" s="5" t="n"/>
      <c r="B85" s="5" t="n">
        <v>79</v>
      </c>
      <c r="C85" s="3" t="inlineStr">
        <is>
          <t xml:space="preserve"> BELLA VISTA VILLA NUEVA</t>
        </is>
      </c>
      <c r="D85" s="3" t="inlineStr">
        <is>
          <t>GUATEMALA</t>
        </is>
      </c>
      <c r="E85" s="3" t="inlineStr">
        <is>
          <t>VILLA NUEVA</t>
        </is>
      </c>
      <c r="F85" s="3" t="inlineStr">
        <is>
          <t>1 Calle 2-94 Zona 4 Villa Nueva, Guatemala</t>
        </is>
      </c>
      <c r="G85" s="10" t="n"/>
      <c r="H85" s="2" t="n">
        <v>108148</v>
      </c>
      <c r="I85" s="2" t="inlineStr">
        <is>
          <t>BELLA VISTA VILLA NUEVA GT980108</t>
        </is>
      </c>
      <c r="J85" t="n">
        <v>14.5239073</v>
      </c>
      <c r="K85" t="n">
        <v>-90.594166</v>
      </c>
      <c r="L85" t="inlineStr">
        <is>
          <t>https://www.google.com/maps/d/viewer?mid=1GZpOQ49Rymf1VGjF7oDoiMDC81ZHrXrr</t>
        </is>
      </c>
      <c r="M85" t="inlineStr">
        <is>
          <t>2026-10-05</t>
        </is>
      </c>
      <c r="N85" t="inlineStr">
        <is>
          <t>UNO Bella Vista Villa Nueva</t>
        </is>
      </c>
    </row>
    <row r="86" ht="16.5" customHeight="1">
      <c r="A86" s="5" t="n"/>
      <c r="B86" s="5" t="n">
        <v>80</v>
      </c>
      <c r="C86" s="3" t="inlineStr">
        <is>
          <t xml:space="preserve"> LIBRAMIENTO BARBERENA</t>
        </is>
      </c>
      <c r="D86" s="3" t="inlineStr">
        <is>
          <t>SANTA ROSA</t>
        </is>
      </c>
      <c r="E86" s="3" t="inlineStr">
        <is>
          <t>BARBERENA</t>
        </is>
      </c>
      <c r="F86" s="3" t="inlineStr">
        <is>
          <t>Km. 44 CA-1 Barberena, Santa Rosa</t>
        </is>
      </c>
      <c r="G86" s="10" t="n"/>
      <c r="H86" s="2" t="n">
        <v>108938</v>
      </c>
      <c r="I86" s="2" t="inlineStr">
        <is>
          <t>LIBRAMIENTO BARBERENA GT980108</t>
        </is>
      </c>
      <c r="J86" t="n">
        <v>14.330825</v>
      </c>
      <c r="K86" t="n">
        <v>-90.41585499999999</v>
      </c>
      <c r="L86" t="inlineStr">
        <is>
          <t>https://www.google.com/maps/d/viewer?mid=1GZpOQ49Rymf1VGjF7oDoiMDC81ZHrXrr</t>
        </is>
      </c>
      <c r="M86" t="inlineStr">
        <is>
          <t>2026-10-05</t>
        </is>
      </c>
      <c r="N86" t="inlineStr">
        <is>
          <t>UNO LIBRAMIENTO BARBERENA</t>
        </is>
      </c>
    </row>
    <row r="87" ht="16.5" customHeight="1">
      <c r="A87" s="5" t="n"/>
      <c r="B87" s="5" t="n">
        <v>81</v>
      </c>
      <c r="C87" s="3" t="inlineStr">
        <is>
          <t xml:space="preserve"> DEL ATLANTICO </t>
        </is>
      </c>
      <c r="D87" s="3" t="inlineStr">
        <is>
          <t>GUATEMALA</t>
        </is>
      </c>
      <c r="E87" s="3" t="inlineStr">
        <is>
          <t>GUATEMALA</t>
        </is>
      </c>
      <c r="F87" s="3" t="inlineStr">
        <is>
          <t>Kilometro 7, Carretera al Atlántico, 10-02, zona 17, Guatemala, Guatemala</t>
        </is>
      </c>
      <c r="G87" s="10" t="n"/>
      <c r="H87" s="2" t="n">
        <v>651096</v>
      </c>
      <c r="I87" s="2" t="inlineStr">
        <is>
          <t>UNO DEL ATLANTICO GT980108</t>
        </is>
      </c>
      <c r="J87" t="n">
        <v>14.6543862382</v>
      </c>
      <c r="K87" t="n">
        <v>-90.46147728050001</v>
      </c>
      <c r="L87" t="inlineStr">
        <is>
          <t>https://www.google.com/maps/d/viewer?mid=1GZpOQ49Rymf1VGjF7oDoiMDC81ZHrXrr</t>
        </is>
      </c>
      <c r="M87" t="inlineStr">
        <is>
          <t>2026-10-05</t>
        </is>
      </c>
      <c r="N87" t="inlineStr">
        <is>
          <t>UNO DEL ATLANTICO</t>
        </is>
      </c>
    </row>
    <row r="88" ht="16.5" customHeight="1">
      <c r="A88" s="5" t="n"/>
      <c r="B88" s="5" t="n">
        <v>82</v>
      </c>
      <c r="C88" s="3" t="inlineStr">
        <is>
          <t xml:space="preserve"> EXPLANADA SAN PEDRITO</t>
        </is>
      </c>
      <c r="D88" s="3" t="inlineStr">
        <is>
          <t>GUATEMALA</t>
        </is>
      </c>
      <c r="E88" s="3" t="inlineStr">
        <is>
          <t>GUATEMALA</t>
        </is>
      </c>
      <c r="F88" s="3" t="inlineStr">
        <is>
          <t>12 Avenida, 30-18 Zona 5, Guatemala, Guatemala</t>
        </is>
      </c>
      <c r="G88" s="10" t="n"/>
      <c r="H88" s="2" t="n">
        <v>651097</v>
      </c>
      <c r="I88" s="2" t="inlineStr">
        <is>
          <t>UNO EXPLANADA SAN PEDRITO</t>
        </is>
      </c>
      <c r="J88" t="n">
        <v>14.6190727075</v>
      </c>
      <c r="K88" t="n">
        <v>-90.5101083608</v>
      </c>
      <c r="L88" t="inlineStr">
        <is>
          <t>https://www.google.com/maps/d/viewer?mid=1GZpOQ49Rymf1VGjF7oDoiMDC81ZHrXrr</t>
        </is>
      </c>
      <c r="M88" t="inlineStr">
        <is>
          <t>2026-10-05</t>
        </is>
      </c>
      <c r="N88" t="inlineStr">
        <is>
          <t>UNO EXPLANADA SAN PEDRITO</t>
        </is>
      </c>
    </row>
    <row r="89" ht="16.5" customHeight="1">
      <c r="A89" s="5" t="n"/>
      <c r="B89" s="5" t="n">
        <v>83</v>
      </c>
      <c r="C89" s="3" t="inlineStr">
        <is>
          <t xml:space="preserve"> HINCAPIE</t>
        </is>
      </c>
      <c r="D89" s="3" t="inlineStr">
        <is>
          <t>GUATEMALA</t>
        </is>
      </c>
      <c r="E89" s="3" t="inlineStr">
        <is>
          <t>GUATEMALA</t>
        </is>
      </c>
      <c r="F89" s="3" t="inlineStr">
        <is>
          <t>14 Avenida 29-32 Zona 13, Guatemala, Guatemala</t>
        </is>
      </c>
      <c r="G89" s="10" t="n"/>
      <c r="H89" s="2" t="n">
        <v>651098</v>
      </c>
      <c r="I89" s="2" t="inlineStr">
        <is>
          <t>UNO HINCAPIE GT980108</t>
        </is>
      </c>
      <c r="J89" t="n">
        <v>14.5638506456</v>
      </c>
      <c r="K89" t="n">
        <v>-90.5288611444</v>
      </c>
      <c r="L89" t="inlineStr">
        <is>
          <t>https://www.google.com/maps/d/viewer?mid=1GZpOQ49Rymf1VGjF7oDoiMDC81ZHrXrr</t>
        </is>
      </c>
      <c r="M89" t="inlineStr">
        <is>
          <t>2026-10-05</t>
        </is>
      </c>
      <c r="N89" t="inlineStr">
        <is>
          <t>UNO HINCAPIE</t>
        </is>
      </c>
    </row>
    <row r="90" ht="16.5" customHeight="1">
      <c r="A90" s="5" t="n"/>
      <c r="B90" s="5" t="n">
        <v>84</v>
      </c>
      <c r="C90" s="3" t="inlineStr">
        <is>
          <t xml:space="preserve"> PUERTO BARRIOS</t>
        </is>
      </c>
      <c r="D90" s="3" t="inlineStr">
        <is>
          <t>IZABAL</t>
        </is>
      </c>
      <c r="E90" s="3" t="inlineStr">
        <is>
          <t>PUERTO BARRIOS</t>
        </is>
      </c>
      <c r="F90" s="3" t="inlineStr">
        <is>
          <t>Km. 293 Carretera al Atlántico, Colonia Virginia Venta de Carros Puerto Barrios, Izabal</t>
        </is>
      </c>
      <c r="G90" s="10" t="n"/>
      <c r="H90" s="2" t="n">
        <v>108983</v>
      </c>
      <c r="I90" s="2" t="inlineStr">
        <is>
          <t>UNO PUERTO BARRIOS GT995108</t>
        </is>
      </c>
      <c r="J90" t="n">
        <v>15.70822</v>
      </c>
      <c r="K90" t="n">
        <v>-88.590416</v>
      </c>
      <c r="L90" t="inlineStr">
        <is>
          <t>https://www.google.com/maps/d/viewer?mid=1GZpOQ49Rymf1VGjF7oDoiMDC81ZHrXrr</t>
        </is>
      </c>
      <c r="M90" t="inlineStr">
        <is>
          <t>2026-10-05</t>
        </is>
      </c>
      <c r="N90" t="inlineStr">
        <is>
          <t>UNO Puerto Barrios</t>
        </is>
      </c>
    </row>
    <row r="91" ht="16.5" customHeight="1">
      <c r="A91" s="5" t="n"/>
      <c r="B91" s="5" t="n">
        <v>85</v>
      </c>
      <c r="C91" s="3" t="inlineStr">
        <is>
          <t xml:space="preserve"> AVENIDA PETAPA</t>
        </is>
      </c>
      <c r="D91" s="3" t="inlineStr">
        <is>
          <t>GUATEMALA</t>
        </is>
      </c>
      <c r="E91" s="3" t="inlineStr">
        <is>
          <t>GUATEMALA</t>
        </is>
      </c>
      <c r="F91" s="3" t="inlineStr">
        <is>
          <t>Avenida Petapa 13-38 Zona 12, Local 1, Guatemala, Guatemala</t>
        </is>
      </c>
      <c r="G91" s="10" t="n"/>
      <c r="H91" s="2" t="n">
        <v>651095</v>
      </c>
      <c r="I91" s="2" t="inlineStr">
        <is>
          <t>UNO AVENIDA PETAPA GT980108</t>
        </is>
      </c>
      <c r="J91" t="n">
        <v>14.6023383527</v>
      </c>
      <c r="K91" t="n">
        <v>-90.5408106596</v>
      </c>
      <c r="L91" t="inlineStr">
        <is>
          <t>https://www.google.com/maps/d/viewer?mid=1GZpOQ49Rymf1VGjF7oDoiMDC81ZHrXrr</t>
        </is>
      </c>
      <c r="M91" t="inlineStr">
        <is>
          <t>2026-10-05</t>
        </is>
      </c>
      <c r="N91" t="inlineStr">
        <is>
          <t>UNO AVENIDA PETAPA</t>
        </is>
      </c>
    </row>
    <row r="92" ht="16.5" customHeight="1">
      <c r="A92" s="5" t="n"/>
      <c r="B92" s="5" t="n">
        <v>86</v>
      </c>
      <c r="C92" s="3" t="inlineStr">
        <is>
          <t xml:space="preserve"> LAS BRISAS</t>
        </is>
      </c>
      <c r="D92" s="3" t="inlineStr">
        <is>
          <t>GUATEMALA</t>
        </is>
      </c>
      <c r="E92" s="3" t="inlineStr">
        <is>
          <t>GUATEMALA</t>
        </is>
      </c>
      <c r="F92" s="3" t="inlineStr">
        <is>
          <t>Kilometro 16.5 Carretera a San Juan Sacatepequez 21-70 Zona 6, el Encino, Mixco, Guatemala</t>
        </is>
      </c>
      <c r="G92" s="10" t="n"/>
      <c r="H92" s="2" t="n">
        <v>651099</v>
      </c>
      <c r="I92" s="2" t="inlineStr">
        <is>
          <t>UNO LAS BRISAS GT 980108</t>
        </is>
      </c>
      <c r="J92" t="n">
        <v>14.6552253828</v>
      </c>
      <c r="K92" t="n">
        <v>-90.59923474430001</v>
      </c>
      <c r="L92" t="inlineStr">
        <is>
          <t>https://www.google.com/maps/d/viewer?mid=1GZpOQ49Rymf1VGjF7oDoiMDC81ZHrXrr</t>
        </is>
      </c>
      <c r="M92" t="inlineStr">
        <is>
          <t>2026-10-05</t>
        </is>
      </c>
      <c r="N92" t="inlineStr">
        <is>
          <t>UNO LAS BRISAS</t>
        </is>
      </c>
    </row>
    <row r="93" ht="16.5" customHeight="1">
      <c r="A93" s="5" t="n"/>
      <c r="B93" s="5" t="n">
        <v>87</v>
      </c>
      <c r="C93" s="3" t="inlineStr">
        <is>
          <t xml:space="preserve"> PANORAMA</t>
        </is>
      </c>
      <c r="D93" s="3" t="inlineStr">
        <is>
          <t>GUATEMALA</t>
        </is>
      </c>
      <c r="E93" s="3" t="inlineStr">
        <is>
          <t>MIXCO</t>
        </is>
      </c>
      <c r="F93" s="11" t="inlineStr">
        <is>
          <t>6ª. Avenida 14-02A C3, Valle Dorado, San Cristóbal Zona 8, Mixco, Guatemala</t>
        </is>
      </c>
      <c r="G93" s="12" t="inlineStr">
        <is>
          <t>SI</t>
        </is>
      </c>
      <c r="H93" s="2" t="n">
        <v>606094</v>
      </c>
      <c r="I93" s="2" t="inlineStr">
        <is>
          <t>UNO PANORAMA SAN CRISTOBAL GT980108</t>
        </is>
      </c>
      <c r="J93" t="n">
        <v>14.5838543</v>
      </c>
      <c r="K93" t="n">
        <v>-90.5820999</v>
      </c>
      <c r="L93" t="inlineStr">
        <is>
          <t>https://www.google.com/maps/d/viewer?mid=1GZpOQ49Rymf1VGjF7oDoiMDC81ZHrXrr</t>
        </is>
      </c>
      <c r="M93" t="inlineStr">
        <is>
          <t>2026-10-05</t>
        </is>
      </c>
      <c r="N93" t="inlineStr">
        <is>
          <t>UNO Panorama</t>
        </is>
      </c>
    </row>
    <row r="94" ht="16.5" customHeight="1">
      <c r="A94" s="5" t="n"/>
      <c r="B94" s="5" t="n">
        <v>88</v>
      </c>
      <c r="C94" s="3" t="inlineStr">
        <is>
          <t xml:space="preserve"> TAXISCO</t>
        </is>
      </c>
      <c r="D94" s="3" t="inlineStr">
        <is>
          <t>SANTA ROSA</t>
        </is>
      </c>
      <c r="E94" s="3" t="inlineStr">
        <is>
          <t>TAXISCO</t>
        </is>
      </c>
      <c r="F94" s="11" t="inlineStr">
        <is>
          <t>Carretera CA2 Kilometro 107.5 Caserio el Desengaño, Taxisco, Santa Rosa</t>
        </is>
      </c>
      <c r="G94" s="10" t="n"/>
      <c r="H94" s="2" t="n">
        <v>606089</v>
      </c>
      <c r="I94" s="2" t="inlineStr">
        <is>
          <t>UNO TAXISCO</t>
        </is>
      </c>
      <c r="J94" t="n">
        <v>14.064536274</v>
      </c>
      <c r="K94" t="n">
        <v>-90.4606642968</v>
      </c>
      <c r="L94" t="inlineStr">
        <is>
          <t>https://www.google.com/maps/d/viewer?mid=1GZpOQ49Rymf1VGjF7oDoiMDC81ZHrXrr</t>
        </is>
      </c>
      <c r="M94" t="inlineStr">
        <is>
          <t>2026-10-05</t>
        </is>
      </c>
      <c r="N94" t="inlineStr">
        <is>
          <t>UNO TAXISCO</t>
        </is>
      </c>
    </row>
    <row r="95" ht="16.5" customHeight="1">
      <c r="A95" s="5" t="n"/>
      <c r="B95" s="5" t="n">
        <v>89</v>
      </c>
      <c r="C95" s="3" t="inlineStr">
        <is>
          <t xml:space="preserve"> BAJA VERAPAZ</t>
        </is>
      </c>
      <c r="D95" s="3" t="inlineStr">
        <is>
          <t>BAJA VERAPAZ</t>
        </is>
      </c>
      <c r="E95" s="3" t="inlineStr">
        <is>
          <t>SALAMA</t>
        </is>
      </c>
      <c r="F95" s="11" t="inlineStr">
        <is>
          <t>1 Calle 1-103, Barrio Hacienda la Virgen, Zona 2 Salama, Baja Verapaz</t>
        </is>
      </c>
      <c r="G95" s="10" t="n"/>
      <c r="H95" s="2" t="n">
        <v>606098</v>
      </c>
      <c r="I95" s="2" t="inlineStr">
        <is>
          <t>UNO BAJA VERAPAZ</t>
        </is>
      </c>
      <c r="J95" t="n">
        <v>15.099734035</v>
      </c>
      <c r="K95" t="n">
        <v>-90.3036823397</v>
      </c>
      <c r="L95" t="inlineStr">
        <is>
          <t>https://www.google.com/maps/d/viewer?mid=1GZpOQ49Rymf1VGjF7oDoiMDC81ZHrXrr</t>
        </is>
      </c>
      <c r="M95" t="inlineStr">
        <is>
          <t>2026-10-05</t>
        </is>
      </c>
      <c r="N95" t="inlineStr">
        <is>
          <t>UNO BAJA VERAPAZ</t>
        </is>
      </c>
    </row>
    <row r="96" ht="16.5" customHeight="1">
      <c r="A96" s="5" t="n"/>
      <c r="B96" s="5" t="n">
        <v>90</v>
      </c>
      <c r="C96" s="3" t="inlineStr">
        <is>
          <t xml:space="preserve"> CALZADA CENTENARIO QUICHE</t>
        </is>
      </c>
      <c r="D96" s="3" t="inlineStr">
        <is>
          <t>QUICHE</t>
        </is>
      </c>
      <c r="E96" s="3" t="inlineStr">
        <is>
          <t>SANTA CRUZ DEL QUICHE</t>
        </is>
      </c>
      <c r="F96" s="11" t="inlineStr">
        <is>
          <t>02 Av. 20-025, PB Nueva GA. Zona 4, Santa Cruz del Quiche, Quiche</t>
        </is>
      </c>
      <c r="G96" s="10" t="n"/>
      <c r="H96" s="2" t="n">
        <v>651094</v>
      </c>
      <c r="I96" s="2" t="inlineStr">
        <is>
          <t>UNO CALZADA CENTENARIO QUICHE GT980108</t>
        </is>
      </c>
      <c r="J96" t="n">
        <v>15.0207769399</v>
      </c>
      <c r="K96" t="n">
        <v>-91.1492626244</v>
      </c>
      <c r="L96" t="inlineStr">
        <is>
          <t>https://www.google.com/maps/d/viewer?mid=1GZpOQ49Rymf1VGjF7oDoiMDC81ZHrXrr</t>
        </is>
      </c>
      <c r="M96" t="inlineStr">
        <is>
          <t>2026-10-05</t>
        </is>
      </c>
      <c r="N96" t="inlineStr">
        <is>
          <t>UNO CALZADA CENTENARIO QUICHE</t>
        </is>
      </c>
    </row>
    <row r="97" ht="16.5" customHeight="1">
      <c r="A97" s="5" t="n"/>
      <c r="B97" s="5" t="n">
        <v>91</v>
      </c>
      <c r="C97" s="3" t="inlineStr">
        <is>
          <t xml:space="preserve"> ENTRE BOSQUES</t>
        </is>
      </c>
      <c r="D97" s="3" t="inlineStr">
        <is>
          <t>BAJA VERAPAZ</t>
        </is>
      </c>
      <c r="E97" s="3" t="inlineStr">
        <is>
          <t>PURULHA</t>
        </is>
      </c>
      <c r="F97" s="11" t="inlineStr">
        <is>
          <t>Caserío Pantin Patal, Kilómetro 167.6 Carretera CA Guión Catorce (CA-14) hacia Purulhá, Purulha, Baja Verapaz</t>
        </is>
      </c>
      <c r="G97" s="12" t="inlineStr">
        <is>
          <t>SI</t>
        </is>
      </c>
      <c r="H97" s="2" t="n">
        <v>612075</v>
      </c>
      <c r="I97" s="2" t="inlineStr">
        <is>
          <t>UNO ENTRE BOSQUES GT980108</t>
        </is>
      </c>
      <c r="J97" t="n">
        <v>15.241706145</v>
      </c>
      <c r="K97" t="n">
        <v>-90.26120564759999</v>
      </c>
      <c r="L97" t="inlineStr">
        <is>
          <t>https://www.google.com/maps/d/viewer?mid=1GZpOQ49Rymf1VGjF7oDoiMDC81ZHrXrr</t>
        </is>
      </c>
      <c r="M97" t="inlineStr">
        <is>
          <t>2026-10-05</t>
        </is>
      </c>
      <c r="N97" t="inlineStr">
        <is>
          <t>UNO ENTRE BOSQUES</t>
        </is>
      </c>
    </row>
    <row r="98" ht="16.5" customHeight="1">
      <c r="A98" s="5" t="n"/>
      <c r="B98" s="5" t="n">
        <v>92</v>
      </c>
      <c r="C98" s="3" t="inlineStr">
        <is>
          <t xml:space="preserve"> ALOTENANGO</t>
        </is>
      </c>
      <c r="D98" s="3" t="inlineStr">
        <is>
          <t>SACATEPÉQUEZ</t>
        </is>
      </c>
      <c r="E98" s="3" t="inlineStr">
        <is>
          <t>CIUDAD VIEJA</t>
        </is>
      </c>
      <c r="F98" s="11" t="inlineStr">
        <is>
          <t>Ciudad Vieja-00, Carretera Alotenango Km 79.986, Ciudad Vieja, Sacatepequez</t>
        </is>
      </c>
      <c r="G98" s="10" t="n"/>
      <c r="H98" s="2" t="n">
        <v>651192</v>
      </c>
      <c r="I98" s="2" t="inlineStr">
        <is>
          <t>UNO ALOTENANGO GT980108</t>
        </is>
      </c>
      <c r="J98" t="n">
        <v>14.5167408</v>
      </c>
      <c r="K98" t="n">
        <v>-90.7782754</v>
      </c>
      <c r="L98" t="inlineStr">
        <is>
          <t>https://www.google.com/maps/d/viewer?mid=1GZpOQ49Rymf1VGjF7oDoiMDC81ZHrXrr</t>
        </is>
      </c>
      <c r="M98" t="inlineStr">
        <is>
          <t>2026-10-05</t>
        </is>
      </c>
      <c r="N98" t="inlineStr">
        <is>
          <t>UNO ALOTENANGO</t>
        </is>
      </c>
    </row>
    <row r="99" ht="16.5" customHeight="1">
      <c r="A99" s="5" t="n"/>
      <c r="B99" s="5" t="n">
        <v>93</v>
      </c>
      <c r="C99" s="3" t="inlineStr">
        <is>
          <t xml:space="preserve"> FUTICO</t>
        </is>
      </c>
      <c r="D99" s="3" t="inlineStr">
        <is>
          <t>CHIQUIMULA</t>
        </is>
      </c>
      <c r="E99" s="3" t="inlineStr">
        <is>
          <t>CHIQUIMULA</t>
        </is>
      </c>
      <c r="F99" s="11" t="inlineStr">
        <is>
          <t>Kilometro 171.5 Ruta a Esquipulas, Chiquimula, Chiquimula</t>
        </is>
      </c>
      <c r="G99" s="5" t="n"/>
      <c r="H99" s="2" t="n">
        <v>664481</v>
      </c>
      <c r="I99" s="2" t="inlineStr">
        <is>
          <t>UNO FUTICO GT980108</t>
        </is>
      </c>
      <c r="J99" t="n">
        <v>14.774386</v>
      </c>
      <c r="K99" t="n">
        <v>-89.527922</v>
      </c>
      <c r="L99" t="inlineStr">
        <is>
          <t>https://www.google.com/maps/d/viewer?mid=1GZpOQ49Rymf1VGjF7oDoiMDC81ZHrXrr</t>
        </is>
      </c>
      <c r="M99" t="inlineStr">
        <is>
          <t>2026-10-05</t>
        </is>
      </c>
      <c r="N99" t="inlineStr">
        <is>
          <t>UNO Futico Chiquimula</t>
        </is>
      </c>
    </row>
    <row r="100" ht="16.5" customHeight="1">
      <c r="A100" s="5" t="n"/>
      <c r="B100" s="5" t="n">
        <v>94</v>
      </c>
      <c r="C100" s="3" t="inlineStr">
        <is>
          <t xml:space="preserve"> PLAZA TIQUISATE</t>
        </is>
      </c>
      <c r="D100" s="3" t="inlineStr">
        <is>
          <t>ESCUINTLA</t>
        </is>
      </c>
      <c r="E100" s="3" t="inlineStr">
        <is>
          <t>TIQUISATE</t>
        </is>
      </c>
      <c r="F100" s="11" t="inlineStr">
        <is>
          <t>Kilómetro 146 Carretera de Tiquisate a el Semillero, Tiquisate, Escuintla</t>
        </is>
      </c>
      <c r="G100" s="5" t="n"/>
      <c r="H100" s="2" t="n">
        <v>606100</v>
      </c>
      <c r="I100" s="2" t="inlineStr">
        <is>
          <t>UNO PLAZA TIQUISATE GT980108</t>
        </is>
      </c>
      <c r="J100" t="n">
        <v>14.2755758</v>
      </c>
      <c r="K100" t="n">
        <v>-91.3631687</v>
      </c>
      <c r="L100" t="inlineStr">
        <is>
          <t>https://www.google.com/maps/d/viewer?mid=1GZpOQ49Rymf1VGjF7oDoiMDC81ZHrXrr</t>
        </is>
      </c>
      <c r="M100" t="inlineStr">
        <is>
          <t>2026-10-05</t>
        </is>
      </c>
      <c r="N100" t="inlineStr">
        <is>
          <t>UNO PLAZA TIQUISATE</t>
        </is>
      </c>
    </row>
    <row r="101" ht="16.5" customHeight="1">
      <c r="A101" s="5" t="n"/>
      <c r="B101" s="5" t="n">
        <v>95</v>
      </c>
      <c r="C101" s="3" t="inlineStr">
        <is>
          <t xml:space="preserve"> RIVERA DEL RIO</t>
        </is>
      </c>
      <c r="D101" s="3" t="inlineStr">
        <is>
          <t>GUATEMALA</t>
        </is>
      </c>
      <c r="E101" s="3" t="inlineStr">
        <is>
          <t>SAN MIGUEL PETAPA</t>
        </is>
      </c>
      <c r="F101" s="11" t="inlineStr">
        <is>
          <t>3A Calle 0-25 Colonia Rivera del Rio, Zona 13, San Miguel Petapa, Guatemala</t>
        </is>
      </c>
      <c r="G101" s="5" t="n"/>
      <c r="H101" s="2" t="n">
        <v>651105</v>
      </c>
      <c r="I101" s="2" t="inlineStr">
        <is>
          <t>UNO RIVERA DEL RIO GT980108</t>
        </is>
      </c>
      <c r="J101" t="n">
        <v>14.503333</v>
      </c>
      <c r="K101" t="n">
        <v>-90.54377700000001</v>
      </c>
      <c r="L101" t="inlineStr">
        <is>
          <t>https://www.google.com/maps/d/viewer?mid=1GZpOQ49Rymf1VGjF7oDoiMDC81ZHrXrr</t>
        </is>
      </c>
      <c r="M101" t="inlineStr">
        <is>
          <t>2026-10-05</t>
        </is>
      </c>
      <c r="N101" t="inlineStr">
        <is>
          <t>UNO RIVERA DEL RÍO</t>
        </is>
      </c>
    </row>
  </sheetData>
  <autoFilter ref="A6:I101"/>
  <printOptions horizontalCentered="1"/>
  <pageMargins left="0.1968503937007874" right="0.1968503937007874" top="0.1968503937007874" bottom="0.1968503937007874" header="0.3149606299212598" footer="0.3149606299212598"/>
  <pageSetup orientation="landscape" scale="7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de Leon</dc:creator>
  <dcterms:created xmlns:dcterms="http://purl.org/dc/terms/" xmlns:xsi="http://www.w3.org/2001/XMLSchema-instance" xsi:type="dcterms:W3CDTF">2018-09-18T22:41:09Z</dcterms:created>
  <dcterms:modified xmlns:dcterms="http://purl.org/dc/terms/" xmlns:xsi="http://www.w3.org/2001/XMLSchema-instance" xsi:type="dcterms:W3CDTF">2026-10-06T04:38:45Z</dcterms:modified>
</cp:coreProperties>
</file>